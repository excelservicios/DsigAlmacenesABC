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OS\SistemaABC\"/>
    </mc:Choice>
  </mc:AlternateContent>
  <xr:revisionPtr revIDLastSave="0" documentId="13_ncr:1_{D9CA7F5E-CC60-4D5E-8890-1655420E25EA}" xr6:coauthVersionLast="47" xr6:coauthVersionMax="47" xr10:uidLastSave="{00000000-0000-0000-0000-000000000000}"/>
  <bookViews>
    <workbookView xWindow="-108" yWindow="-108" windowWidth="23256" windowHeight="12456" activeTab="2" xr2:uid="{695778AC-7CC1-4901-AB5A-469B147DCDBE}"/>
  </bookViews>
  <sheets>
    <sheet name="Hoja1" sheetId="1" r:id="rId1"/>
    <sheet name="Productos" sheetId="2" r:id="rId2"/>
    <sheet name="TARJETA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09" i="3" l="1"/>
  <c r="D508" i="3"/>
  <c r="D507" i="3"/>
  <c r="D506" i="3"/>
  <c r="D505" i="3"/>
  <c r="D499" i="3"/>
  <c r="D498" i="3"/>
  <c r="D497" i="3"/>
  <c r="D496" i="3"/>
  <c r="D495" i="3"/>
  <c r="D489" i="3"/>
  <c r="D488" i="3"/>
  <c r="D487" i="3"/>
  <c r="D486" i="3"/>
  <c r="D485" i="3"/>
  <c r="D479" i="3"/>
  <c r="D478" i="3"/>
  <c r="D477" i="3"/>
  <c r="D476" i="3"/>
  <c r="D475" i="3"/>
  <c r="D469" i="3"/>
  <c r="D468" i="3"/>
  <c r="D467" i="3"/>
  <c r="D466" i="3"/>
  <c r="D465" i="3"/>
  <c r="D459" i="3"/>
  <c r="D458" i="3"/>
  <c r="D457" i="3"/>
  <c r="D456" i="3"/>
  <c r="D455" i="3"/>
  <c r="D449" i="3"/>
  <c r="D448" i="3"/>
  <c r="D447" i="3"/>
  <c r="D446" i="3"/>
  <c r="D445" i="3"/>
  <c r="D439" i="3"/>
  <c r="D438" i="3"/>
  <c r="D437" i="3"/>
  <c r="D436" i="3"/>
  <c r="D435" i="3"/>
  <c r="D429" i="3"/>
  <c r="D428" i="3"/>
  <c r="D427" i="3"/>
  <c r="D426" i="3"/>
  <c r="D425" i="3"/>
  <c r="D419" i="3"/>
  <c r="D418" i="3"/>
  <c r="D417" i="3"/>
  <c r="D416" i="3"/>
  <c r="D415" i="3"/>
  <c r="D409" i="3"/>
  <c r="D408" i="3"/>
  <c r="D407" i="3"/>
  <c r="D406" i="3"/>
  <c r="D405" i="3"/>
  <c r="D399" i="3"/>
  <c r="D398" i="3"/>
  <c r="D397" i="3"/>
  <c r="D396" i="3"/>
  <c r="D395" i="3"/>
  <c r="D389" i="3"/>
  <c r="D388" i="3"/>
  <c r="D387" i="3"/>
  <c r="D386" i="3"/>
  <c r="D385" i="3"/>
  <c r="D379" i="3"/>
  <c r="D378" i="3"/>
  <c r="D377" i="3"/>
  <c r="D376" i="3"/>
  <c r="D375" i="3"/>
  <c r="D369" i="3"/>
  <c r="D368" i="3"/>
  <c r="D367" i="3"/>
  <c r="D366" i="3"/>
  <c r="D365" i="3"/>
  <c r="D359" i="3"/>
  <c r="D358" i="3"/>
  <c r="D357" i="3"/>
  <c r="D356" i="3"/>
  <c r="D355" i="3"/>
  <c r="D349" i="3"/>
  <c r="D348" i="3"/>
  <c r="D347" i="3"/>
  <c r="D346" i="3"/>
  <c r="D345" i="3"/>
  <c r="D339" i="3"/>
  <c r="D338" i="3"/>
  <c r="D337" i="3"/>
  <c r="D336" i="3"/>
  <c r="D335" i="3"/>
  <c r="D329" i="3"/>
  <c r="D328" i="3"/>
  <c r="D327" i="3"/>
  <c r="D326" i="3"/>
  <c r="D325" i="3"/>
  <c r="D319" i="3"/>
  <c r="D318" i="3"/>
  <c r="D317" i="3"/>
  <c r="D316" i="3"/>
  <c r="D315" i="3"/>
  <c r="D309" i="3"/>
  <c r="D308" i="3"/>
  <c r="D307" i="3"/>
  <c r="D306" i="3"/>
  <c r="D305" i="3"/>
  <c r="D299" i="3"/>
  <c r="D298" i="3"/>
  <c r="D297" i="3"/>
  <c r="D296" i="3"/>
  <c r="D295" i="3"/>
  <c r="D289" i="3"/>
  <c r="D288" i="3"/>
  <c r="D287" i="3"/>
  <c r="D286" i="3"/>
  <c r="D285" i="3"/>
  <c r="D279" i="3"/>
  <c r="D278" i="3"/>
  <c r="D277" i="3"/>
  <c r="D276" i="3"/>
  <c r="D275" i="3"/>
  <c r="D269" i="3"/>
  <c r="D268" i="3"/>
  <c r="D267" i="3"/>
  <c r="D266" i="3"/>
  <c r="D265" i="3"/>
  <c r="D259" i="3"/>
  <c r="D258" i="3"/>
  <c r="D257" i="3"/>
  <c r="D256" i="3"/>
  <c r="D255" i="3"/>
  <c r="D249" i="3"/>
  <c r="D248" i="3"/>
  <c r="D247" i="3"/>
  <c r="D246" i="3"/>
  <c r="D245" i="3"/>
  <c r="D239" i="3"/>
  <c r="D238" i="3"/>
  <c r="D237" i="3"/>
  <c r="D236" i="3"/>
  <c r="D235" i="3"/>
  <c r="D229" i="3"/>
  <c r="D228" i="3"/>
  <c r="D227" i="3"/>
  <c r="D226" i="3"/>
  <c r="D225" i="3"/>
  <c r="D219" i="3"/>
  <c r="D218" i="3"/>
  <c r="D217" i="3"/>
  <c r="D216" i="3"/>
  <c r="D215" i="3"/>
  <c r="D209" i="3"/>
  <c r="D208" i="3"/>
  <c r="D207" i="3"/>
  <c r="D206" i="3"/>
  <c r="D205" i="3"/>
  <c r="D199" i="3"/>
  <c r="D198" i="3"/>
  <c r="D197" i="3"/>
  <c r="D196" i="3"/>
  <c r="D195" i="3"/>
  <c r="D189" i="3"/>
  <c r="D188" i="3"/>
  <c r="D187" i="3"/>
  <c r="D186" i="3"/>
  <c r="D185" i="3"/>
  <c r="D179" i="3"/>
  <c r="D178" i="3"/>
  <c r="D177" i="3"/>
  <c r="D176" i="3"/>
  <c r="D175" i="3"/>
  <c r="D169" i="3"/>
  <c r="D168" i="3"/>
  <c r="D167" i="3"/>
  <c r="D166" i="3"/>
  <c r="D165" i="3"/>
  <c r="D159" i="3"/>
  <c r="D158" i="3"/>
  <c r="D157" i="3"/>
  <c r="D156" i="3"/>
  <c r="D155" i="3"/>
  <c r="D149" i="3"/>
  <c r="D148" i="3"/>
  <c r="D147" i="3"/>
  <c r="D146" i="3"/>
  <c r="D145" i="3"/>
  <c r="D139" i="3"/>
  <c r="D138" i="3"/>
  <c r="D137" i="3"/>
  <c r="D136" i="3"/>
  <c r="D135" i="3"/>
  <c r="D129" i="3"/>
  <c r="D128" i="3"/>
  <c r="D127" i="3"/>
  <c r="D126" i="3"/>
  <c r="D125" i="3"/>
  <c r="D119" i="3"/>
  <c r="D118" i="3"/>
  <c r="D117" i="3"/>
  <c r="D116" i="3"/>
  <c r="D115" i="3"/>
  <c r="D109" i="3"/>
  <c r="D108" i="3"/>
  <c r="D107" i="3"/>
  <c r="D106" i="3"/>
  <c r="D105" i="3"/>
  <c r="D99" i="3"/>
  <c r="D98" i="3"/>
  <c r="D97" i="3"/>
  <c r="D96" i="3"/>
  <c r="D95" i="3"/>
  <c r="D89" i="3"/>
  <c r="D88" i="3"/>
  <c r="D87" i="3"/>
  <c r="D86" i="3"/>
  <c r="D85" i="3"/>
  <c r="D79" i="3"/>
  <c r="D78" i="3"/>
  <c r="D77" i="3"/>
  <c r="D76" i="3"/>
  <c r="D75" i="3"/>
  <c r="D69" i="3"/>
  <c r="D68" i="3"/>
  <c r="D67" i="3"/>
  <c r="D66" i="3"/>
  <c r="D65" i="3"/>
  <c r="D59" i="3"/>
  <c r="D58" i="3"/>
  <c r="D57" i="3"/>
  <c r="D56" i="3"/>
  <c r="D55" i="3"/>
  <c r="D49" i="3"/>
  <c r="D48" i="3"/>
  <c r="D47" i="3"/>
  <c r="D46" i="3"/>
  <c r="D45" i="3"/>
  <c r="D39" i="3"/>
  <c r="D38" i="3"/>
  <c r="D37" i="3"/>
  <c r="D36" i="3"/>
  <c r="D35" i="3"/>
  <c r="D29" i="3"/>
  <c r="D28" i="3"/>
  <c r="D27" i="3"/>
  <c r="D26" i="3"/>
  <c r="D25" i="3"/>
  <c r="D19" i="3"/>
  <c r="D18" i="3"/>
  <c r="D17" i="3"/>
  <c r="D16" i="3"/>
  <c r="D15" i="3"/>
  <c r="D9" i="3"/>
  <c r="D8" i="3"/>
  <c r="D7" i="3"/>
  <c r="D6" i="3"/>
  <c r="D5" i="3"/>
</calcChain>
</file>

<file path=xl/sharedStrings.xml><?xml version="1.0" encoding="utf-8"?>
<sst xmlns="http://schemas.openxmlformats.org/spreadsheetml/2006/main" count="615" uniqueCount="116">
  <si>
    <t>CODIGO</t>
  </si>
  <si>
    <t>DESCRIPCIÓN</t>
  </si>
  <si>
    <t>UNIDAD</t>
  </si>
  <si>
    <t>PRECIO DE VENTA</t>
  </si>
  <si>
    <t>PRECIO DE COMPRA</t>
  </si>
  <si>
    <t>40173805.01</t>
  </si>
  <si>
    <t>ABRAZADERA PVC DE 63MM 3/4"</t>
  </si>
  <si>
    <t>31162414.01</t>
  </si>
  <si>
    <t>ABRAZADERA UNISTRUN DE 3/4"</t>
  </si>
  <si>
    <t>31162414.02</t>
  </si>
  <si>
    <t>ABRAZADERA UNISTRUN DE 4"</t>
  </si>
  <si>
    <t>31162414.03</t>
  </si>
  <si>
    <t>ABRAZADERA UNISTRUT DE 1"</t>
  </si>
  <si>
    <t>47131831.02</t>
  </si>
  <si>
    <t xml:space="preserve">ACIDO MURIATICO </t>
  </si>
  <si>
    <t>31163026.01</t>
  </si>
  <si>
    <t>ACOPLE TIPO GARRA -CHICAGO DE BRONCE DE 11/4"</t>
  </si>
  <si>
    <t>25174004.01</t>
  </si>
  <si>
    <t>AGENTE REDUCTOR LIQUIDO DE NOX-SKANNPOWER</t>
  </si>
  <si>
    <t>23271813.01</t>
  </si>
  <si>
    <t>ALAMBRE ACERO AL CARBONO MIG-ASV</t>
  </si>
  <si>
    <t>23271813.02</t>
  </si>
  <si>
    <t>ALAMBRE TUBULAR EXATUB 71 1.2MM</t>
  </si>
  <si>
    <t>46191501.01</t>
  </si>
  <si>
    <t>ALARMA DETECTOR DE HUMO 12-24V</t>
  </si>
  <si>
    <t>12352104.01</t>
  </si>
  <si>
    <t xml:space="preserve">ALCOHOL 70º </t>
  </si>
  <si>
    <t>23241506.01</t>
  </si>
  <si>
    <t>ANILLO DISTRIBUIDOR 220857-85-A</t>
  </si>
  <si>
    <t>23241506.02</t>
  </si>
  <si>
    <t>ANILLO DISTRIBUIDOR 220994-105-A</t>
  </si>
  <si>
    <t>31201603.01</t>
  </si>
  <si>
    <t>ANILLO REDONDO DE GOMA DE 1/4"</t>
  </si>
  <si>
    <t>31201603.02</t>
  </si>
  <si>
    <t>ANILLO REDONDO DE GOMA DE 3/16"</t>
  </si>
  <si>
    <t>23271804.01</t>
  </si>
  <si>
    <t>APORTE AC 3/32" 54/38</t>
  </si>
  <si>
    <t>23271804.02</t>
  </si>
  <si>
    <t>APORTE AC 3/32" 905-B-3</t>
  </si>
  <si>
    <t>23271804.03</t>
  </si>
  <si>
    <t>APORTE ARGON 1/8"</t>
  </si>
  <si>
    <t>23271804.04</t>
  </si>
  <si>
    <t>APORTE INOX ER-308 1/16"</t>
  </si>
  <si>
    <t>23271804.05</t>
  </si>
  <si>
    <t>APORTE INOX ER-308 3/32"</t>
  </si>
  <si>
    <t>23271804.06</t>
  </si>
  <si>
    <t>APORTE INOX ER-309</t>
  </si>
  <si>
    <t>31161807.01</t>
  </si>
  <si>
    <t>ARANDELA DE PRESION DE 3/8"</t>
  </si>
  <si>
    <t>44122011.01</t>
  </si>
  <si>
    <t xml:space="preserve">ARCHIVADOR PLASTIFICADO OFICIO LOMO ANCHO </t>
  </si>
  <si>
    <t>46182306.01</t>
  </si>
  <si>
    <t xml:space="preserve">ARNES DE SEGURIDAD </t>
  </si>
  <si>
    <t>46182306.02</t>
  </si>
  <si>
    <t>LINEA DE VIDA</t>
  </si>
  <si>
    <t>23271717.01</t>
  </si>
  <si>
    <t>ARRESTALLAMA VICTOR</t>
  </si>
  <si>
    <t>30121601.01</t>
  </si>
  <si>
    <t>ASFALTO RC-250</t>
  </si>
  <si>
    <t>55121704.01</t>
  </si>
  <si>
    <t>BANER (LETREROS DE SEGURIDAD)</t>
  </si>
  <si>
    <t>46181706.01</t>
  </si>
  <si>
    <t>BARBIQUEJO PARA CASCO</t>
  </si>
  <si>
    <t>55121704.02</t>
  </si>
  <si>
    <t>BARRA RETRACTIL COLOR AMARILLO</t>
  </si>
  <si>
    <t>39111706.01</t>
  </si>
  <si>
    <t>BASE PARA PERTIGA PARA CAMIONETA</t>
  </si>
  <si>
    <t>31162403.01</t>
  </si>
  <si>
    <t>BISAGRA PARA PUERTA DE 21/2"</t>
  </si>
  <si>
    <t>31162403.02</t>
  </si>
  <si>
    <t>BISAGRA VAIVEN DE DOBLE ACCION INOXIDABLE</t>
  </si>
  <si>
    <t>31162403.03</t>
  </si>
  <si>
    <t xml:space="preserve">BISAGRA VAIVEN FG </t>
  </si>
  <si>
    <t>47121701.01</t>
  </si>
  <si>
    <t>BOLSAS DE BASURA PARA CILINDRO</t>
  </si>
  <si>
    <t>47121701.02</t>
  </si>
  <si>
    <t>BOLSAS PARA BASURA 50X60 NEGRO</t>
  </si>
  <si>
    <t>47121701.03</t>
  </si>
  <si>
    <t>BOLSAS PARA BASURA 50X80 ROJO</t>
  </si>
  <si>
    <t>40141731.01</t>
  </si>
  <si>
    <t>BOQUILLA DE GAS TWECO DE 5/8"</t>
  </si>
  <si>
    <t>31211913.01</t>
  </si>
  <si>
    <t>BOQUILLA DE PULVERIZACION EQUIPO GRACO 286211</t>
  </si>
  <si>
    <t>31211913.02</t>
  </si>
  <si>
    <t>BOQUILLA DE PULVERIZACION EQUIPO GRACO 286215</t>
  </si>
  <si>
    <t>31211913.03</t>
  </si>
  <si>
    <t>BOQUILLA DE PULVERIZACION EQUIPO GRACO LTX219</t>
  </si>
  <si>
    <t>31211913.04</t>
  </si>
  <si>
    <t>BOQUILLA DE PULVERIZACION EQUIPO GRACO LTX515</t>
  </si>
  <si>
    <t>31211913.05</t>
  </si>
  <si>
    <t>BOQUILLA DE PULVERIZACION EQUIPO GRACO LTX519</t>
  </si>
  <si>
    <t>31211913.06</t>
  </si>
  <si>
    <t>BOQUILLA DE PULVERIZACION EQUIPO GRACO XHD115</t>
  </si>
  <si>
    <t>31211913.07</t>
  </si>
  <si>
    <t>BOQUILLA DE PULVERIZACION EQUIPO GRACO XHD515</t>
  </si>
  <si>
    <t>31211913.08</t>
  </si>
  <si>
    <t>BOQUILLA DE PULVERIZACION EQUIPO GRACO XHD519</t>
  </si>
  <si>
    <t>31211913.09</t>
  </si>
  <si>
    <t>BOQUILLA DE PULVERIZACION PARA EQUIPO GRACO</t>
  </si>
  <si>
    <t>31211913.10</t>
  </si>
  <si>
    <t>BOQUILLA DE PULVERIZACION PARA EQUIPO GRACO 517</t>
  </si>
  <si>
    <t>40141731.02</t>
  </si>
  <si>
    <t>BOQUILLA HYPERTHERM 220930</t>
  </si>
  <si>
    <t>31211913.11</t>
  </si>
  <si>
    <t>BOQUILLA NRO. 413 DE PULVERIZACION PARA EQUIPO GRACO</t>
  </si>
  <si>
    <t>ID</t>
  </si>
  <si>
    <t>CATEGORIA</t>
  </si>
  <si>
    <t>UNIDADES</t>
  </si>
  <si>
    <t>TUBOS</t>
  </si>
  <si>
    <t>TARJETA DE PRODUCTO</t>
  </si>
  <si>
    <t>CODIGO:</t>
  </si>
  <si>
    <t>DESCRIPCIÓN:</t>
  </si>
  <si>
    <t>CATEGORIA:</t>
  </si>
  <si>
    <t>UNIDAD:</t>
  </si>
  <si>
    <t>PRECIO COMPRA:</t>
  </si>
  <si>
    <t>PRECIO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</si>
</sst>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right"/>
    </xf>
    <xf numFmtId="43" fontId="0" fillId="0" borderId="0" xfId="1" applyFont="1" applyBorder="1" applyAlignment="1">
      <alignment horizontal="right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2"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403860</xdr:colOff>
      <xdr:row>1</xdr:row>
      <xdr:rowOff>38100</xdr:rowOff>
    </xdr:from>
    <xdr:to>
      <xdr:col>6</xdr:col>
      <xdr:colOff>510540</xdr:colOff>
      <xdr:row>3</xdr:row>
      <xdr:rowOff>121920</xdr:rowOff>
    </xdr:to>
    <xdr:sp macro="[0]!CrearTarje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AE55123-1D6A-57C5-5FAF-AEAE9D647FA5}"/>
            </a:ext>
          </a:extLst>
        </xdr:cNvPr>
        <xdr:cNvSpPr/>
      </xdr:nvSpPr>
      <xdr:spPr>
        <a:xfrm>
          <a:off x="5928360" y="228600"/>
          <a:ext cx="899160" cy="388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PROCESAR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64AB44-C0DF-4698-A8D9-8853A47C1CED}" name="Tabla2" displayName="Tabla2" ref="A1:G57" totalsRowShown="0" headerRowDxfId="1" tableBorderDxfId="0">
  <autoFilter ref="A1:G57" xr:uid="{2664AB44-C0DF-4698-A8D9-8853A47C1CED}"/>
  <tableColumns count="7">
    <tableColumn id="2" xr3:uid="{220DD4E3-873F-4E01-BED7-804A5372C63A}" name="ID"/>
    <tableColumn id="5" xr3:uid="{CCF7C1E4-9A1D-44EB-A1E5-E2DA0641B440}" name="CODIGO"/>
    <tableColumn id="3" xr3:uid="{F800E22B-090F-4FCF-A778-BA68BF828D15}" name="DESCRIPCIÓN"/>
    <tableColumn id="4" xr3:uid="{6FB181BB-5488-4C50-8BC4-53FD09253DF7}" name="UNIDAD"/>
    <tableColumn id="1" xr3:uid="{C15DDD41-393F-47F1-BCB2-BF1CD7FA543C}" name="CATEGORIA"/>
    <tableColumn id="6" xr3:uid="{D7CECF94-0C27-46F2-ABF6-636B426180E3}" name="PRECIO DE VENTA"/>
    <tableColumn id="7" xr3:uid="{F70E424B-7DD5-4EB2-9EAC-D668CA51B106}" name="PRECIO DE COMPR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7B826-92FB-45BE-9F6F-F03914126AE3}">
  <sheetPr codeName="Hoja1"/>
  <dimension ref="A1"/>
  <sheetViews>
    <sheetView workbookViewId="0">
      <selection activeCell="C1" sqref="C1:C1048576"/>
    </sheetView>
  </sheetViews>
  <sheetFormatPr baseColWidth="10" defaultRowHeight="14.4" x14ac:dyDescent="0.3"/>
  <cols>
    <col min="4" max="4" width="22.21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0824E-565F-4C78-A209-2D3CBFF33E1F}">
  <sheetPr codeName="Hoja2"/>
  <dimension ref="A1:G51"/>
  <sheetViews>
    <sheetView workbookViewId="0">
      <selection activeCell="B3" sqref="B3"/>
    </sheetView>
  </sheetViews>
  <sheetFormatPr baseColWidth="10" defaultRowHeight="14.4" x14ac:dyDescent="0.3"/>
  <cols>
    <col min="1" max="1" width="11.5546875" bestFit="1" customWidth="1"/>
    <col min="2" max="2" width="12.6640625" customWidth="1"/>
    <col min="3" max="3" width="53.21875" bestFit="1" customWidth="1"/>
    <col min="6" max="6" width="18" customWidth="1"/>
    <col min="7" max="7" width="19.88671875" customWidth="1"/>
  </cols>
  <sheetData>
    <row r="1" spans="1:7" x14ac:dyDescent="0.3">
      <c r="A1" s="1" t="s">
        <v>105</v>
      </c>
      <c r="B1" s="1" t="s">
        <v>0</v>
      </c>
      <c r="C1" s="1" t="s">
        <v>1</v>
      </c>
      <c r="D1" s="1" t="s">
        <v>2</v>
      </c>
      <c r="E1" s="1" t="s">
        <v>106</v>
      </c>
      <c r="F1" s="1" t="s">
        <v>3</v>
      </c>
      <c r="G1" s="2" t="s">
        <v>4</v>
      </c>
    </row>
    <row r="2" spans="1:7" x14ac:dyDescent="0.3">
      <c r="A2">
        <v>1</v>
      </c>
      <c r="B2" t="s">
        <v>5</v>
      </c>
      <c r="C2" t="s">
        <v>6</v>
      </c>
      <c r="D2" t="s">
        <v>107</v>
      </c>
      <c r="E2" t="s">
        <v>108</v>
      </c>
      <c r="F2">
        <v>587</v>
      </c>
      <c r="G2">
        <v>657</v>
      </c>
    </row>
    <row r="3" spans="1:7" x14ac:dyDescent="0.3">
      <c r="A3">
        <v>2</v>
      </c>
      <c r="B3" t="s">
        <v>7</v>
      </c>
      <c r="C3" t="s">
        <v>8</v>
      </c>
      <c r="D3" t="s">
        <v>107</v>
      </c>
      <c r="E3" t="s">
        <v>108</v>
      </c>
      <c r="F3">
        <v>916</v>
      </c>
      <c r="G3">
        <v>751</v>
      </c>
    </row>
    <row r="4" spans="1:7" x14ac:dyDescent="0.3">
      <c r="A4">
        <v>3</v>
      </c>
      <c r="B4" t="s">
        <v>9</v>
      </c>
      <c r="C4" t="s">
        <v>10</v>
      </c>
      <c r="D4" t="s">
        <v>107</v>
      </c>
      <c r="E4" t="s">
        <v>108</v>
      </c>
      <c r="F4">
        <v>300</v>
      </c>
      <c r="G4">
        <v>715</v>
      </c>
    </row>
    <row r="5" spans="1:7" x14ac:dyDescent="0.3">
      <c r="A5">
        <v>6</v>
      </c>
      <c r="B5" t="s">
        <v>11</v>
      </c>
      <c r="C5" t="s">
        <v>12</v>
      </c>
      <c r="D5" t="s">
        <v>107</v>
      </c>
      <c r="E5" t="s">
        <v>108</v>
      </c>
      <c r="F5">
        <v>755</v>
      </c>
      <c r="G5">
        <v>581</v>
      </c>
    </row>
    <row r="6" spans="1:7" x14ac:dyDescent="0.3">
      <c r="A6">
        <v>7</v>
      </c>
      <c r="B6" t="s">
        <v>13</v>
      </c>
      <c r="C6" t="s">
        <v>14</v>
      </c>
      <c r="D6" t="s">
        <v>107</v>
      </c>
      <c r="E6" t="s">
        <v>108</v>
      </c>
      <c r="F6">
        <v>603</v>
      </c>
      <c r="G6">
        <v>456</v>
      </c>
    </row>
    <row r="7" spans="1:7" x14ac:dyDescent="0.3">
      <c r="A7">
        <v>8</v>
      </c>
      <c r="B7" t="s">
        <v>15</v>
      </c>
      <c r="C7" t="s">
        <v>16</v>
      </c>
      <c r="D7" t="s">
        <v>107</v>
      </c>
      <c r="E7" t="s">
        <v>108</v>
      </c>
      <c r="F7">
        <v>409</v>
      </c>
      <c r="G7">
        <v>223</v>
      </c>
    </row>
    <row r="8" spans="1:7" x14ac:dyDescent="0.3">
      <c r="A8">
        <v>9</v>
      </c>
      <c r="B8" t="s">
        <v>17</v>
      </c>
      <c r="C8" t="s">
        <v>18</v>
      </c>
      <c r="D8" t="s">
        <v>107</v>
      </c>
      <c r="E8" t="s">
        <v>108</v>
      </c>
      <c r="F8">
        <v>411</v>
      </c>
      <c r="G8">
        <v>217</v>
      </c>
    </row>
    <row r="9" spans="1:7" x14ac:dyDescent="0.3">
      <c r="A9">
        <v>10</v>
      </c>
      <c r="B9" t="s">
        <v>19</v>
      </c>
      <c r="C9" t="s">
        <v>20</v>
      </c>
      <c r="D9" t="s">
        <v>107</v>
      </c>
      <c r="E9" t="s">
        <v>108</v>
      </c>
      <c r="F9">
        <v>443</v>
      </c>
      <c r="G9">
        <v>924</v>
      </c>
    </row>
    <row r="10" spans="1:7" x14ac:dyDescent="0.3">
      <c r="A10">
        <v>11</v>
      </c>
      <c r="B10" t="s">
        <v>21</v>
      </c>
      <c r="C10" t="s">
        <v>22</v>
      </c>
      <c r="D10" t="s">
        <v>107</v>
      </c>
      <c r="E10" t="s">
        <v>108</v>
      </c>
      <c r="F10">
        <v>239</v>
      </c>
      <c r="G10">
        <v>800</v>
      </c>
    </row>
    <row r="11" spans="1:7" x14ac:dyDescent="0.3">
      <c r="A11">
        <v>12</v>
      </c>
      <c r="B11" t="s">
        <v>23</v>
      </c>
      <c r="C11" t="s">
        <v>24</v>
      </c>
      <c r="D11" t="s">
        <v>107</v>
      </c>
      <c r="E11" t="s">
        <v>108</v>
      </c>
      <c r="F11">
        <v>578</v>
      </c>
      <c r="G11">
        <v>817</v>
      </c>
    </row>
    <row r="12" spans="1:7" x14ac:dyDescent="0.3">
      <c r="A12">
        <v>13</v>
      </c>
      <c r="B12" t="s">
        <v>25</v>
      </c>
      <c r="C12" t="s">
        <v>26</v>
      </c>
      <c r="D12" t="s">
        <v>107</v>
      </c>
      <c r="E12" t="s">
        <v>108</v>
      </c>
      <c r="F12">
        <v>766</v>
      </c>
      <c r="G12">
        <v>150</v>
      </c>
    </row>
    <row r="13" spans="1:7" x14ac:dyDescent="0.3">
      <c r="A13">
        <v>14</v>
      </c>
      <c r="B13" t="s">
        <v>27</v>
      </c>
      <c r="C13" t="s">
        <v>28</v>
      </c>
      <c r="D13" t="s">
        <v>107</v>
      </c>
      <c r="E13" t="s">
        <v>108</v>
      </c>
      <c r="F13">
        <v>883</v>
      </c>
      <c r="G13">
        <v>871</v>
      </c>
    </row>
    <row r="14" spans="1:7" x14ac:dyDescent="0.3">
      <c r="A14">
        <v>15</v>
      </c>
      <c r="B14" t="s">
        <v>29</v>
      </c>
      <c r="C14" t="s">
        <v>30</v>
      </c>
      <c r="D14" t="s">
        <v>107</v>
      </c>
      <c r="E14" t="s">
        <v>108</v>
      </c>
      <c r="F14">
        <v>927</v>
      </c>
      <c r="G14">
        <v>624</v>
      </c>
    </row>
    <row r="15" spans="1:7" x14ac:dyDescent="0.3">
      <c r="A15">
        <v>16</v>
      </c>
      <c r="B15" t="s">
        <v>31</v>
      </c>
      <c r="C15" t="s">
        <v>32</v>
      </c>
      <c r="D15" t="s">
        <v>107</v>
      </c>
      <c r="E15" t="s">
        <v>108</v>
      </c>
      <c r="F15">
        <v>490</v>
      </c>
      <c r="G15">
        <v>693</v>
      </c>
    </row>
    <row r="16" spans="1:7" x14ac:dyDescent="0.3">
      <c r="A16">
        <v>17</v>
      </c>
      <c r="B16" t="s">
        <v>33</v>
      </c>
      <c r="C16" t="s">
        <v>34</v>
      </c>
      <c r="D16" t="s">
        <v>107</v>
      </c>
      <c r="E16" t="s">
        <v>108</v>
      </c>
      <c r="F16">
        <v>438</v>
      </c>
      <c r="G16">
        <v>221</v>
      </c>
    </row>
    <row r="17" spans="1:7" x14ac:dyDescent="0.3">
      <c r="A17">
        <v>18</v>
      </c>
      <c r="B17" t="s">
        <v>35</v>
      </c>
      <c r="C17" t="s">
        <v>36</v>
      </c>
      <c r="D17" t="s">
        <v>107</v>
      </c>
      <c r="E17" t="s">
        <v>108</v>
      </c>
      <c r="F17">
        <v>670</v>
      </c>
      <c r="G17">
        <v>187</v>
      </c>
    </row>
    <row r="18" spans="1:7" x14ac:dyDescent="0.3">
      <c r="A18">
        <v>19</v>
      </c>
      <c r="B18" t="s">
        <v>37</v>
      </c>
      <c r="C18" t="s">
        <v>38</v>
      </c>
      <c r="D18" t="s">
        <v>107</v>
      </c>
      <c r="E18" t="s">
        <v>108</v>
      </c>
      <c r="F18">
        <v>227</v>
      </c>
      <c r="G18">
        <v>198</v>
      </c>
    </row>
    <row r="19" spans="1:7" x14ac:dyDescent="0.3">
      <c r="A19">
        <v>20</v>
      </c>
      <c r="B19" t="s">
        <v>39</v>
      </c>
      <c r="C19" t="s">
        <v>40</v>
      </c>
      <c r="D19" t="s">
        <v>107</v>
      </c>
      <c r="E19" t="s">
        <v>108</v>
      </c>
      <c r="F19">
        <v>736</v>
      </c>
      <c r="G19">
        <v>243</v>
      </c>
    </row>
    <row r="20" spans="1:7" x14ac:dyDescent="0.3">
      <c r="A20">
        <v>21</v>
      </c>
      <c r="B20" t="s">
        <v>41</v>
      </c>
      <c r="C20" t="s">
        <v>42</v>
      </c>
      <c r="D20" t="s">
        <v>107</v>
      </c>
      <c r="E20" t="s">
        <v>108</v>
      </c>
      <c r="F20">
        <v>888</v>
      </c>
      <c r="G20">
        <v>640</v>
      </c>
    </row>
    <row r="21" spans="1:7" x14ac:dyDescent="0.3">
      <c r="A21">
        <v>22</v>
      </c>
      <c r="B21" t="s">
        <v>43</v>
      </c>
      <c r="C21" t="s">
        <v>44</v>
      </c>
      <c r="D21" t="s">
        <v>107</v>
      </c>
      <c r="E21" t="s">
        <v>108</v>
      </c>
      <c r="F21">
        <v>338</v>
      </c>
      <c r="G21">
        <v>179</v>
      </c>
    </row>
    <row r="22" spans="1:7" x14ac:dyDescent="0.3">
      <c r="A22">
        <v>23</v>
      </c>
      <c r="B22" t="s">
        <v>45</v>
      </c>
      <c r="C22" t="s">
        <v>46</v>
      </c>
      <c r="D22" t="s">
        <v>107</v>
      </c>
      <c r="E22" t="s">
        <v>108</v>
      </c>
      <c r="F22">
        <v>313</v>
      </c>
      <c r="G22">
        <v>654</v>
      </c>
    </row>
    <row r="23" spans="1:7" x14ac:dyDescent="0.3">
      <c r="A23">
        <v>24</v>
      </c>
      <c r="B23" t="s">
        <v>47</v>
      </c>
      <c r="C23" t="s">
        <v>48</v>
      </c>
      <c r="D23" t="s">
        <v>107</v>
      </c>
      <c r="E23" t="s">
        <v>108</v>
      </c>
      <c r="F23">
        <v>694</v>
      </c>
      <c r="G23">
        <v>104</v>
      </c>
    </row>
    <row r="24" spans="1:7" x14ac:dyDescent="0.3">
      <c r="A24">
        <v>25</v>
      </c>
      <c r="B24" t="s">
        <v>49</v>
      </c>
      <c r="C24" t="s">
        <v>50</v>
      </c>
      <c r="D24" t="s">
        <v>107</v>
      </c>
      <c r="E24" t="s">
        <v>108</v>
      </c>
      <c r="F24">
        <v>409</v>
      </c>
      <c r="G24">
        <v>377</v>
      </c>
    </row>
    <row r="25" spans="1:7" x14ac:dyDescent="0.3">
      <c r="A25">
        <v>26</v>
      </c>
      <c r="B25" t="s">
        <v>51</v>
      </c>
      <c r="C25" t="s">
        <v>52</v>
      </c>
      <c r="D25" t="s">
        <v>107</v>
      </c>
      <c r="E25" t="s">
        <v>108</v>
      </c>
      <c r="F25">
        <v>558</v>
      </c>
      <c r="G25">
        <v>214</v>
      </c>
    </row>
    <row r="26" spans="1:7" x14ac:dyDescent="0.3">
      <c r="A26">
        <v>27</v>
      </c>
      <c r="B26" t="s">
        <v>53</v>
      </c>
      <c r="C26" t="s">
        <v>54</v>
      </c>
      <c r="D26" t="s">
        <v>107</v>
      </c>
      <c r="E26" t="s">
        <v>108</v>
      </c>
      <c r="F26">
        <v>547</v>
      </c>
      <c r="G26">
        <v>252</v>
      </c>
    </row>
    <row r="27" spans="1:7" x14ac:dyDescent="0.3">
      <c r="A27">
        <v>28</v>
      </c>
      <c r="B27" t="s">
        <v>55</v>
      </c>
      <c r="C27" t="s">
        <v>56</v>
      </c>
      <c r="D27" t="s">
        <v>107</v>
      </c>
      <c r="E27" t="s">
        <v>108</v>
      </c>
      <c r="F27">
        <v>766</v>
      </c>
      <c r="G27">
        <v>974</v>
      </c>
    </row>
    <row r="28" spans="1:7" x14ac:dyDescent="0.3">
      <c r="A28">
        <v>29</v>
      </c>
      <c r="B28" t="s">
        <v>57</v>
      </c>
      <c r="C28" t="s">
        <v>58</v>
      </c>
      <c r="D28" t="s">
        <v>107</v>
      </c>
      <c r="E28" t="s">
        <v>108</v>
      </c>
      <c r="F28">
        <v>602</v>
      </c>
      <c r="G28">
        <v>549</v>
      </c>
    </row>
    <row r="29" spans="1:7" x14ac:dyDescent="0.3">
      <c r="A29">
        <v>30</v>
      </c>
      <c r="B29" t="s">
        <v>59</v>
      </c>
      <c r="C29" t="s">
        <v>60</v>
      </c>
      <c r="D29" t="s">
        <v>107</v>
      </c>
      <c r="E29" t="s">
        <v>108</v>
      </c>
      <c r="F29">
        <v>664</v>
      </c>
      <c r="G29">
        <v>790</v>
      </c>
    </row>
    <row r="30" spans="1:7" x14ac:dyDescent="0.3">
      <c r="A30">
        <v>31</v>
      </c>
      <c r="B30" t="s">
        <v>61</v>
      </c>
      <c r="C30" t="s">
        <v>62</v>
      </c>
      <c r="D30" t="s">
        <v>107</v>
      </c>
      <c r="E30" t="s">
        <v>108</v>
      </c>
      <c r="F30">
        <v>540</v>
      </c>
      <c r="G30">
        <v>720</v>
      </c>
    </row>
    <row r="31" spans="1:7" x14ac:dyDescent="0.3">
      <c r="A31">
        <v>32</v>
      </c>
      <c r="B31" t="s">
        <v>63</v>
      </c>
      <c r="C31" t="s">
        <v>64</v>
      </c>
      <c r="D31" t="s">
        <v>107</v>
      </c>
      <c r="E31" t="s">
        <v>108</v>
      </c>
      <c r="F31">
        <v>341</v>
      </c>
      <c r="G31">
        <v>754</v>
      </c>
    </row>
    <row r="32" spans="1:7" x14ac:dyDescent="0.3">
      <c r="A32">
        <v>33</v>
      </c>
      <c r="B32" t="s">
        <v>65</v>
      </c>
      <c r="C32" t="s">
        <v>66</v>
      </c>
      <c r="D32" t="s">
        <v>107</v>
      </c>
      <c r="E32" t="s">
        <v>108</v>
      </c>
      <c r="F32">
        <v>146</v>
      </c>
      <c r="G32">
        <v>638</v>
      </c>
    </row>
    <row r="33" spans="1:7" x14ac:dyDescent="0.3">
      <c r="A33">
        <v>34</v>
      </c>
      <c r="B33" t="s">
        <v>67</v>
      </c>
      <c r="C33" t="s">
        <v>68</v>
      </c>
      <c r="D33" t="s">
        <v>107</v>
      </c>
      <c r="E33" t="s">
        <v>108</v>
      </c>
      <c r="F33">
        <v>515</v>
      </c>
      <c r="G33">
        <v>988</v>
      </c>
    </row>
    <row r="34" spans="1:7" x14ac:dyDescent="0.3">
      <c r="A34">
        <v>35</v>
      </c>
      <c r="B34" t="s">
        <v>69</v>
      </c>
      <c r="C34" t="s">
        <v>70</v>
      </c>
      <c r="D34" t="s">
        <v>107</v>
      </c>
      <c r="E34" t="s">
        <v>108</v>
      </c>
      <c r="F34">
        <v>872</v>
      </c>
      <c r="G34">
        <v>833</v>
      </c>
    </row>
    <row r="35" spans="1:7" x14ac:dyDescent="0.3">
      <c r="A35">
        <v>36</v>
      </c>
      <c r="B35" t="s">
        <v>71</v>
      </c>
      <c r="C35" t="s">
        <v>72</v>
      </c>
      <c r="D35" t="s">
        <v>107</v>
      </c>
      <c r="E35" t="s">
        <v>108</v>
      </c>
      <c r="F35">
        <v>812</v>
      </c>
      <c r="G35">
        <v>948</v>
      </c>
    </row>
    <row r="36" spans="1:7" x14ac:dyDescent="0.3">
      <c r="A36">
        <v>37</v>
      </c>
      <c r="B36" t="s">
        <v>73</v>
      </c>
      <c r="C36" t="s">
        <v>74</v>
      </c>
      <c r="D36" t="s">
        <v>107</v>
      </c>
      <c r="E36" t="s">
        <v>108</v>
      </c>
      <c r="F36">
        <v>173</v>
      </c>
      <c r="G36">
        <v>436</v>
      </c>
    </row>
    <row r="37" spans="1:7" x14ac:dyDescent="0.3">
      <c r="A37">
        <v>38</v>
      </c>
      <c r="B37" t="s">
        <v>75</v>
      </c>
      <c r="C37" t="s">
        <v>76</v>
      </c>
      <c r="D37" t="s">
        <v>107</v>
      </c>
      <c r="E37" t="s">
        <v>108</v>
      </c>
      <c r="F37">
        <v>921</v>
      </c>
      <c r="G37">
        <v>382</v>
      </c>
    </row>
    <row r="38" spans="1:7" x14ac:dyDescent="0.3">
      <c r="A38">
        <v>39</v>
      </c>
      <c r="B38" t="s">
        <v>77</v>
      </c>
      <c r="C38" t="s">
        <v>78</v>
      </c>
      <c r="D38" t="s">
        <v>107</v>
      </c>
      <c r="E38" t="s">
        <v>108</v>
      </c>
      <c r="F38">
        <v>545</v>
      </c>
      <c r="G38">
        <v>110</v>
      </c>
    </row>
    <row r="39" spans="1:7" x14ac:dyDescent="0.3">
      <c r="A39">
        <v>40</v>
      </c>
      <c r="B39" t="s">
        <v>79</v>
      </c>
      <c r="C39" t="s">
        <v>80</v>
      </c>
      <c r="D39" t="s">
        <v>107</v>
      </c>
      <c r="E39" t="s">
        <v>108</v>
      </c>
      <c r="F39">
        <v>144</v>
      </c>
      <c r="G39">
        <v>538</v>
      </c>
    </row>
    <row r="40" spans="1:7" x14ac:dyDescent="0.3">
      <c r="A40">
        <v>41</v>
      </c>
      <c r="B40" t="s">
        <v>81</v>
      </c>
      <c r="C40" t="s">
        <v>82</v>
      </c>
      <c r="D40" t="s">
        <v>107</v>
      </c>
      <c r="E40" t="s">
        <v>108</v>
      </c>
      <c r="F40">
        <v>758</v>
      </c>
      <c r="G40">
        <v>327</v>
      </c>
    </row>
    <row r="41" spans="1:7" x14ac:dyDescent="0.3">
      <c r="A41">
        <v>42</v>
      </c>
      <c r="B41" t="s">
        <v>83</v>
      </c>
      <c r="C41" t="s">
        <v>84</v>
      </c>
      <c r="D41" t="s">
        <v>107</v>
      </c>
      <c r="E41" t="s">
        <v>108</v>
      </c>
      <c r="F41">
        <v>559</v>
      </c>
      <c r="G41">
        <v>554</v>
      </c>
    </row>
    <row r="42" spans="1:7" x14ac:dyDescent="0.3">
      <c r="A42">
        <v>43</v>
      </c>
      <c r="B42" t="s">
        <v>85</v>
      </c>
      <c r="C42" t="s">
        <v>86</v>
      </c>
      <c r="D42" t="s">
        <v>107</v>
      </c>
      <c r="E42" t="s">
        <v>108</v>
      </c>
      <c r="F42">
        <v>886</v>
      </c>
      <c r="G42">
        <v>546</v>
      </c>
    </row>
    <row r="43" spans="1:7" x14ac:dyDescent="0.3">
      <c r="A43">
        <v>44</v>
      </c>
      <c r="B43" t="s">
        <v>87</v>
      </c>
      <c r="C43" t="s">
        <v>88</v>
      </c>
      <c r="D43" t="s">
        <v>107</v>
      </c>
      <c r="E43" t="s">
        <v>108</v>
      </c>
      <c r="F43">
        <v>953</v>
      </c>
      <c r="G43">
        <v>564</v>
      </c>
    </row>
    <row r="44" spans="1:7" x14ac:dyDescent="0.3">
      <c r="A44">
        <v>45</v>
      </c>
      <c r="B44" t="s">
        <v>89</v>
      </c>
      <c r="C44" t="s">
        <v>90</v>
      </c>
      <c r="D44" t="s">
        <v>107</v>
      </c>
      <c r="E44" t="s">
        <v>108</v>
      </c>
      <c r="F44">
        <v>911</v>
      </c>
      <c r="G44">
        <v>103</v>
      </c>
    </row>
    <row r="45" spans="1:7" x14ac:dyDescent="0.3">
      <c r="A45">
        <v>46</v>
      </c>
      <c r="B45" t="s">
        <v>91</v>
      </c>
      <c r="C45" t="s">
        <v>92</v>
      </c>
      <c r="D45" t="s">
        <v>107</v>
      </c>
      <c r="E45" t="s">
        <v>108</v>
      </c>
      <c r="F45">
        <v>431</v>
      </c>
      <c r="G45">
        <v>376</v>
      </c>
    </row>
    <row r="46" spans="1:7" x14ac:dyDescent="0.3">
      <c r="A46">
        <v>47</v>
      </c>
      <c r="B46" t="s">
        <v>93</v>
      </c>
      <c r="C46" t="s">
        <v>94</v>
      </c>
      <c r="D46" t="s">
        <v>107</v>
      </c>
      <c r="E46" t="s">
        <v>108</v>
      </c>
      <c r="F46">
        <v>228</v>
      </c>
      <c r="G46">
        <v>153</v>
      </c>
    </row>
    <row r="47" spans="1:7" x14ac:dyDescent="0.3">
      <c r="A47">
        <v>48</v>
      </c>
      <c r="B47" t="s">
        <v>95</v>
      </c>
      <c r="C47" t="s">
        <v>96</v>
      </c>
      <c r="D47" t="s">
        <v>107</v>
      </c>
      <c r="E47" t="s">
        <v>108</v>
      </c>
      <c r="F47">
        <v>170</v>
      </c>
      <c r="G47">
        <v>882</v>
      </c>
    </row>
    <row r="48" spans="1:7" x14ac:dyDescent="0.3">
      <c r="A48">
        <v>49</v>
      </c>
      <c r="B48" t="s">
        <v>97</v>
      </c>
      <c r="C48" t="s">
        <v>98</v>
      </c>
      <c r="D48" t="s">
        <v>107</v>
      </c>
      <c r="E48" t="s">
        <v>108</v>
      </c>
      <c r="F48">
        <v>609</v>
      </c>
      <c r="G48">
        <v>227</v>
      </c>
    </row>
    <row r="49" spans="1:7" x14ac:dyDescent="0.3">
      <c r="A49">
        <v>50</v>
      </c>
      <c r="B49" t="s">
        <v>99</v>
      </c>
      <c r="C49" t="s">
        <v>100</v>
      </c>
      <c r="D49" t="s">
        <v>107</v>
      </c>
      <c r="E49" t="s">
        <v>108</v>
      </c>
      <c r="F49">
        <v>289</v>
      </c>
      <c r="G49">
        <v>408</v>
      </c>
    </row>
    <row r="50" spans="1:7" x14ac:dyDescent="0.3">
      <c r="A50">
        <v>51</v>
      </c>
      <c r="B50" t="s">
        <v>101</v>
      </c>
      <c r="C50" t="s">
        <v>102</v>
      </c>
      <c r="D50" t="s">
        <v>107</v>
      </c>
      <c r="E50" t="s">
        <v>108</v>
      </c>
      <c r="F50">
        <v>253</v>
      </c>
      <c r="G50">
        <v>893</v>
      </c>
    </row>
    <row r="51" spans="1:7" x14ac:dyDescent="0.3">
      <c r="A51">
        <v>52</v>
      </c>
      <c r="B51" t="s">
        <v>103</v>
      </c>
      <c r="C51" t="s">
        <v>104</v>
      </c>
      <c r="D51" t="s">
        <v>107</v>
      </c>
      <c r="E51" t="s">
        <v>108</v>
      </c>
      <c r="F51">
        <v>938</v>
      </c>
      <c r="G51">
        <v>625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2B7DF-925F-43C4-BA30-3320ECE117FE}">
  <sheetPr codeName="Hoja3"/>
  <dimension ref="B1:E510"/>
  <sheetViews>
    <sheetView showGridLines="0" tabSelected="1" topLeftCell="A479" workbookViewId="0">
      <selection activeCell="G486" sqref="G486"/>
    </sheetView>
  </sheetViews>
  <sheetFormatPr baseColWidth="10" defaultRowHeight="14.4" x14ac:dyDescent="0.3"/>
  <cols>
    <col min="1" max="1" width="6.33203125" customWidth="1"/>
    <col min="2" max="2" width="4.6640625" customWidth="1"/>
    <col min="3" max="3" width="17.6640625" customWidth="1"/>
    <col min="4" max="4" width="40.33203125" customWidth="1"/>
  </cols>
  <sheetData>
    <row r="1" spans="2:5" ht="15" thickBot="1" x14ac:dyDescent="0.35"/>
    <row r="2" spans="2:5" x14ac:dyDescent="0.3">
      <c r="B2" s="10" t="s">
        <v>109</v>
      </c>
      <c r="C2" s="11"/>
      <c r="D2" s="11"/>
      <c r="E2" s="12"/>
    </row>
    <row r="3" spans="2:5" ht="9.6" customHeight="1" x14ac:dyDescent="0.3">
      <c r="B3" s="3"/>
      <c r="E3" s="4"/>
    </row>
    <row r="4" spans="2:5" x14ac:dyDescent="0.3">
      <c r="B4" s="3"/>
      <c r="C4" t="s">
        <v>110</v>
      </c>
      <c r="D4" s="8" t="s">
        <v>103</v>
      </c>
      <c r="E4" s="4"/>
    </row>
    <row r="5" spans="2:5" x14ac:dyDescent="0.3">
      <c r="B5" s="3"/>
      <c r="C5" t="s">
        <v>111</v>
      </c>
      <c r="D5" s="8" t="str">
        <f>VLOOKUP(D4,Productos!$B$2:$G$65000,2,FALSE)</f>
        <v>BOQUILLA NRO. 413 DE PULVERIZACION PARA EQUIPO GRACO</v>
      </c>
      <c r="E5" s="4"/>
    </row>
    <row r="6" spans="2:5" x14ac:dyDescent="0.3">
      <c r="B6" s="3"/>
      <c r="C6" t="s">
        <v>112</v>
      </c>
      <c r="D6" s="8" t="str">
        <f>VLOOKUP(D4,Productos!$B$2:$G$65000,4,FALSE)</f>
        <v>TUBOS</v>
      </c>
      <c r="E6" s="4"/>
    </row>
    <row r="7" spans="2:5" x14ac:dyDescent="0.3">
      <c r="B7" s="3"/>
      <c r="C7" t="s">
        <v>113</v>
      </c>
      <c r="D7" s="8" t="str">
        <f>VLOOKUP(D4,Productos!$B$2:$G$65000,3,FALSE)</f>
        <v>UNIDADES</v>
      </c>
      <c r="E7" s="4"/>
    </row>
    <row r="8" spans="2:5" x14ac:dyDescent="0.3">
      <c r="B8" s="3"/>
      <c r="C8" t="s">
        <v>114</v>
      </c>
      <c r="D8" s="9">
        <f>VLOOKUP(D4,Productos!$B$2:$G$65000,5,FALSE)</f>
        <v>938</v>
      </c>
      <c r="E8" s="4"/>
    </row>
    <row r="9" spans="2:5" x14ac:dyDescent="0.3">
      <c r="B9" s="3"/>
      <c r="C9" t="s">
        <v>115</v>
      </c>
      <c r="D9" s="9">
        <f>VLOOKUP(D4,Productos!$B$2:$G$65000,6,FALSE)</f>
        <v>625</v>
      </c>
      <c r="E9" s="4"/>
    </row>
    <row r="10" spans="2:5" ht="15" thickBot="1" x14ac:dyDescent="0.35">
      <c r="B10" s="5"/>
      <c r="C10" s="6"/>
      <c r="D10" s="6"/>
      <c r="E10" s="7"/>
    </row>
    <row r="11" spans="2:5" ht="15" thickBot="1" x14ac:dyDescent="0.35"/>
    <row r="12" spans="2:5" x14ac:dyDescent="0.3">
      <c r="B12" s="10" t="s">
        <v>109</v>
      </c>
      <c r="C12" s="11"/>
      <c r="D12" s="11"/>
      <c r="E12" s="12"/>
    </row>
    <row r="13" spans="2:5" x14ac:dyDescent="0.3">
      <c r="B13" s="3"/>
      <c r="E13" s="4"/>
    </row>
    <row r="14" spans="2:5" x14ac:dyDescent="0.3">
      <c r="B14" s="3"/>
      <c r="C14" t="s">
        <v>110</v>
      </c>
      <c r="D14" s="8" t="s">
        <v>5</v>
      </c>
      <c r="E14" s="4"/>
    </row>
    <row r="15" spans="2:5" x14ac:dyDescent="0.3">
      <c r="B15" s="3"/>
      <c r="C15" t="s">
        <v>111</v>
      </c>
      <c r="D15" s="8" t="str">
        <f>VLOOKUP(D14,Productos!$B$2:$G$65000,2,FALSE)</f>
        <v>ABRAZADERA PVC DE 63MM 3/4"</v>
      </c>
      <c r="E15" s="4"/>
    </row>
    <row r="16" spans="2:5" x14ac:dyDescent="0.3">
      <c r="B16" s="3"/>
      <c r="C16" t="s">
        <v>112</v>
      </c>
      <c r="D16" s="8" t="str">
        <f>VLOOKUP(D14,Productos!$B$2:$G$65000,4,FALSE)</f>
        <v>TUBOS</v>
      </c>
      <c r="E16" s="4"/>
    </row>
    <row r="17" spans="2:5" x14ac:dyDescent="0.3">
      <c r="B17" s="3"/>
      <c r="C17" t="s">
        <v>113</v>
      </c>
      <c r="D17" s="8" t="str">
        <f>VLOOKUP(D14,Productos!$B$2:$G$65000,3,FALSE)</f>
        <v>UNIDADES</v>
      </c>
      <c r="E17" s="4"/>
    </row>
    <row r="18" spans="2:5" x14ac:dyDescent="0.3">
      <c r="B18" s="3"/>
      <c r="C18" t="s">
        <v>114</v>
      </c>
      <c r="D18" s="9">
        <f>VLOOKUP(D14,Productos!$B$2:$G$65000,5,FALSE)</f>
        <v>587</v>
      </c>
      <c r="E18" s="4"/>
    </row>
    <row r="19" spans="2:5" x14ac:dyDescent="0.3">
      <c r="B19" s="3"/>
      <c r="C19" t="s">
        <v>115</v>
      </c>
      <c r="D19" s="9">
        <f>VLOOKUP(D14,Productos!$B$2:$G$65000,6,FALSE)</f>
        <v>657</v>
      </c>
      <c r="E19" s="4"/>
    </row>
    <row r="20" spans="2:5" ht="15" thickBot="1" x14ac:dyDescent="0.35">
      <c r="B20" s="5"/>
      <c r="C20" s="6"/>
      <c r="D20" s="6"/>
      <c r="E20" s="7"/>
    </row>
    <row r="21" spans="2:5" ht="15" thickBot="1" x14ac:dyDescent="0.35"/>
    <row r="22" spans="2:5" x14ac:dyDescent="0.3">
      <c r="B22" s="10" t="s">
        <v>109</v>
      </c>
      <c r="C22" s="11"/>
      <c r="D22" s="11"/>
      <c r="E22" s="12"/>
    </row>
    <row r="23" spans="2:5" x14ac:dyDescent="0.3">
      <c r="B23" s="3"/>
      <c r="E23" s="4"/>
    </row>
    <row r="24" spans="2:5" x14ac:dyDescent="0.3">
      <c r="B24" s="3"/>
      <c r="C24" t="s">
        <v>110</v>
      </c>
      <c r="D24" s="8" t="s">
        <v>7</v>
      </c>
      <c r="E24" s="4"/>
    </row>
    <row r="25" spans="2:5" x14ac:dyDescent="0.3">
      <c r="B25" s="3"/>
      <c r="C25" t="s">
        <v>111</v>
      </c>
      <c r="D25" s="8" t="str">
        <f>VLOOKUP(D24,Productos!$B$2:$G$65000,2,FALSE)</f>
        <v>ABRAZADERA UNISTRUN DE 3/4"</v>
      </c>
      <c r="E25" s="4"/>
    </row>
    <row r="26" spans="2:5" x14ac:dyDescent="0.3">
      <c r="B26" s="3"/>
      <c r="C26" t="s">
        <v>112</v>
      </c>
      <c r="D26" s="8" t="str">
        <f>VLOOKUP(D24,Productos!$B$2:$G$65000,4,FALSE)</f>
        <v>TUBOS</v>
      </c>
      <c r="E26" s="4"/>
    </row>
    <row r="27" spans="2:5" x14ac:dyDescent="0.3">
      <c r="B27" s="3"/>
      <c r="C27" t="s">
        <v>113</v>
      </c>
      <c r="D27" s="8" t="str">
        <f>VLOOKUP(D24,Productos!$B$2:$G$65000,3,FALSE)</f>
        <v>UNIDADES</v>
      </c>
      <c r="E27" s="4"/>
    </row>
    <row r="28" spans="2:5" x14ac:dyDescent="0.3">
      <c r="B28" s="3"/>
      <c r="C28" t="s">
        <v>114</v>
      </c>
      <c r="D28" s="9">
        <f>VLOOKUP(D24,Productos!$B$2:$G$65000,5,FALSE)</f>
        <v>916</v>
      </c>
      <c r="E28" s="4"/>
    </row>
    <row r="29" spans="2:5" x14ac:dyDescent="0.3">
      <c r="B29" s="3"/>
      <c r="C29" t="s">
        <v>115</v>
      </c>
      <c r="D29" s="9">
        <f>VLOOKUP(D24,Productos!$B$2:$G$65000,6,FALSE)</f>
        <v>751</v>
      </c>
      <c r="E29" s="4"/>
    </row>
    <row r="30" spans="2:5" ht="15" thickBot="1" x14ac:dyDescent="0.35">
      <c r="B30" s="5"/>
      <c r="C30" s="6"/>
      <c r="D30" s="6"/>
      <c r="E30" s="7"/>
    </row>
    <row r="31" spans="2:5" ht="15" thickBot="1" x14ac:dyDescent="0.35"/>
    <row r="32" spans="2:5" x14ac:dyDescent="0.3">
      <c r="B32" s="10" t="s">
        <v>109</v>
      </c>
      <c r="C32" s="11"/>
      <c r="D32" s="11"/>
      <c r="E32" s="12"/>
    </row>
    <row r="33" spans="2:5" x14ac:dyDescent="0.3">
      <c r="B33" s="3"/>
      <c r="E33" s="4"/>
    </row>
    <row r="34" spans="2:5" x14ac:dyDescent="0.3">
      <c r="B34" s="3"/>
      <c r="C34" t="s">
        <v>110</v>
      </c>
      <c r="D34" s="8" t="s">
        <v>9</v>
      </c>
      <c r="E34" s="4"/>
    </row>
    <row r="35" spans="2:5" x14ac:dyDescent="0.3">
      <c r="B35" s="3"/>
      <c r="C35" t="s">
        <v>111</v>
      </c>
      <c r="D35" s="8" t="str">
        <f>VLOOKUP(D34,Productos!$B$2:$G$65000,2,FALSE)</f>
        <v>ABRAZADERA UNISTRUN DE 4"</v>
      </c>
      <c r="E35" s="4"/>
    </row>
    <row r="36" spans="2:5" x14ac:dyDescent="0.3">
      <c r="B36" s="3"/>
      <c r="C36" t="s">
        <v>112</v>
      </c>
      <c r="D36" s="8" t="str">
        <f>VLOOKUP(D34,Productos!$B$2:$G$65000,4,FALSE)</f>
        <v>TUBOS</v>
      </c>
      <c r="E36" s="4"/>
    </row>
    <row r="37" spans="2:5" x14ac:dyDescent="0.3">
      <c r="B37" s="3"/>
      <c r="C37" t="s">
        <v>113</v>
      </c>
      <c r="D37" s="8" t="str">
        <f>VLOOKUP(D34,Productos!$B$2:$G$65000,3,FALSE)</f>
        <v>UNIDADES</v>
      </c>
      <c r="E37" s="4"/>
    </row>
    <row r="38" spans="2:5" x14ac:dyDescent="0.3">
      <c r="B38" s="3"/>
      <c r="C38" t="s">
        <v>114</v>
      </c>
      <c r="D38" s="9">
        <f>VLOOKUP(D34,Productos!$B$2:$G$65000,5,FALSE)</f>
        <v>300</v>
      </c>
      <c r="E38" s="4"/>
    </row>
    <row r="39" spans="2:5" x14ac:dyDescent="0.3">
      <c r="B39" s="3"/>
      <c r="C39" t="s">
        <v>115</v>
      </c>
      <c r="D39" s="9">
        <f>VLOOKUP(D34,Productos!$B$2:$G$65000,6,FALSE)</f>
        <v>715</v>
      </c>
      <c r="E39" s="4"/>
    </row>
    <row r="40" spans="2:5" ht="15" thickBot="1" x14ac:dyDescent="0.35">
      <c r="B40" s="5"/>
      <c r="C40" s="6"/>
      <c r="D40" s="6"/>
      <c r="E40" s="7"/>
    </row>
    <row r="41" spans="2:5" ht="15" thickBot="1" x14ac:dyDescent="0.35"/>
    <row r="42" spans="2:5" x14ac:dyDescent="0.3">
      <c r="B42" s="10" t="s">
        <v>109</v>
      </c>
      <c r="C42" s="11"/>
      <c r="D42" s="11"/>
      <c r="E42" s="12"/>
    </row>
    <row r="43" spans="2:5" x14ac:dyDescent="0.3">
      <c r="B43" s="3"/>
      <c r="E43" s="4"/>
    </row>
    <row r="44" spans="2:5" x14ac:dyDescent="0.3">
      <c r="B44" s="3"/>
      <c r="C44" t="s">
        <v>110</v>
      </c>
      <c r="D44" s="8" t="s">
        <v>11</v>
      </c>
      <c r="E44" s="4"/>
    </row>
    <row r="45" spans="2:5" x14ac:dyDescent="0.3">
      <c r="B45" s="3"/>
      <c r="C45" t="s">
        <v>111</v>
      </c>
      <c r="D45" s="8" t="str">
        <f>VLOOKUP(D44,Productos!$B$2:$G$65000,2,FALSE)</f>
        <v>ABRAZADERA UNISTRUT DE 1"</v>
      </c>
      <c r="E45" s="4"/>
    </row>
    <row r="46" spans="2:5" x14ac:dyDescent="0.3">
      <c r="B46" s="3"/>
      <c r="C46" t="s">
        <v>112</v>
      </c>
      <c r="D46" s="8" t="str">
        <f>VLOOKUP(D44,Productos!$B$2:$G$65000,4,FALSE)</f>
        <v>TUBOS</v>
      </c>
      <c r="E46" s="4"/>
    </row>
    <row r="47" spans="2:5" x14ac:dyDescent="0.3">
      <c r="B47" s="3"/>
      <c r="C47" t="s">
        <v>113</v>
      </c>
      <c r="D47" s="8" t="str">
        <f>VLOOKUP(D44,Productos!$B$2:$G$65000,3,FALSE)</f>
        <v>UNIDADES</v>
      </c>
      <c r="E47" s="4"/>
    </row>
    <row r="48" spans="2:5" x14ac:dyDescent="0.3">
      <c r="B48" s="3"/>
      <c r="C48" t="s">
        <v>114</v>
      </c>
      <c r="D48" s="9">
        <f>VLOOKUP(D44,Productos!$B$2:$G$65000,5,FALSE)</f>
        <v>755</v>
      </c>
      <c r="E48" s="4"/>
    </row>
    <row r="49" spans="2:5" x14ac:dyDescent="0.3">
      <c r="B49" s="3"/>
      <c r="C49" t="s">
        <v>115</v>
      </c>
      <c r="D49" s="9">
        <f>VLOOKUP(D44,Productos!$B$2:$G$65000,6,FALSE)</f>
        <v>581</v>
      </c>
      <c r="E49" s="4"/>
    </row>
    <row r="50" spans="2:5" ht="15" thickBot="1" x14ac:dyDescent="0.35">
      <c r="B50" s="5"/>
      <c r="C50" s="6"/>
      <c r="D50" s="6"/>
      <c r="E50" s="7"/>
    </row>
    <row r="51" spans="2:5" ht="15" thickBot="1" x14ac:dyDescent="0.35"/>
    <row r="52" spans="2:5" x14ac:dyDescent="0.3">
      <c r="B52" s="10" t="s">
        <v>109</v>
      </c>
      <c r="C52" s="11"/>
      <c r="D52" s="11"/>
      <c r="E52" s="12"/>
    </row>
    <row r="53" spans="2:5" x14ac:dyDescent="0.3">
      <c r="B53" s="3"/>
      <c r="E53" s="4"/>
    </row>
    <row r="54" spans="2:5" x14ac:dyDescent="0.3">
      <c r="B54" s="3"/>
      <c r="C54" t="s">
        <v>110</v>
      </c>
      <c r="D54" s="8" t="s">
        <v>13</v>
      </c>
      <c r="E54" s="4"/>
    </row>
    <row r="55" spans="2:5" x14ac:dyDescent="0.3">
      <c r="B55" s="3"/>
      <c r="C55" t="s">
        <v>111</v>
      </c>
      <c r="D55" s="8" t="str">
        <f>VLOOKUP(D54,Productos!$B$2:$G$65000,2,FALSE)</f>
        <v xml:space="preserve">ACIDO MURIATICO </v>
      </c>
      <c r="E55" s="4"/>
    </row>
    <row r="56" spans="2:5" x14ac:dyDescent="0.3">
      <c r="B56" s="3"/>
      <c r="C56" t="s">
        <v>112</v>
      </c>
      <c r="D56" s="8" t="str">
        <f>VLOOKUP(D54,Productos!$B$2:$G$65000,4,FALSE)</f>
        <v>TUBOS</v>
      </c>
      <c r="E56" s="4"/>
    </row>
    <row r="57" spans="2:5" x14ac:dyDescent="0.3">
      <c r="B57" s="3"/>
      <c r="C57" t="s">
        <v>113</v>
      </c>
      <c r="D57" s="8" t="str">
        <f>VLOOKUP(D54,Productos!$B$2:$G$65000,3,FALSE)</f>
        <v>UNIDADES</v>
      </c>
      <c r="E57" s="4"/>
    </row>
    <row r="58" spans="2:5" x14ac:dyDescent="0.3">
      <c r="B58" s="3"/>
      <c r="C58" t="s">
        <v>114</v>
      </c>
      <c r="D58" s="9">
        <f>VLOOKUP(D54,Productos!$B$2:$G$65000,5,FALSE)</f>
        <v>603</v>
      </c>
      <c r="E58" s="4"/>
    </row>
    <row r="59" spans="2:5" x14ac:dyDescent="0.3">
      <c r="B59" s="3"/>
      <c r="C59" t="s">
        <v>115</v>
      </c>
      <c r="D59" s="9">
        <f>VLOOKUP(D54,Productos!$B$2:$G$65000,6,FALSE)</f>
        <v>456</v>
      </c>
      <c r="E59" s="4"/>
    </row>
    <row r="60" spans="2:5" ht="15" thickBot="1" x14ac:dyDescent="0.35">
      <c r="B60" s="5"/>
      <c r="C60" s="6"/>
      <c r="D60" s="6"/>
      <c r="E60" s="7"/>
    </row>
    <row r="61" spans="2:5" ht="15" thickBot="1" x14ac:dyDescent="0.35"/>
    <row r="62" spans="2:5" x14ac:dyDescent="0.3">
      <c r="B62" s="10" t="s">
        <v>109</v>
      </c>
      <c r="C62" s="11"/>
      <c r="D62" s="11"/>
      <c r="E62" s="12"/>
    </row>
    <row r="63" spans="2:5" x14ac:dyDescent="0.3">
      <c r="B63" s="3"/>
      <c r="E63" s="4"/>
    </row>
    <row r="64" spans="2:5" x14ac:dyDescent="0.3">
      <c r="B64" s="3"/>
      <c r="C64" t="s">
        <v>110</v>
      </c>
      <c r="D64" s="8" t="s">
        <v>15</v>
      </c>
      <c r="E64" s="4"/>
    </row>
    <row r="65" spans="2:5" x14ac:dyDescent="0.3">
      <c r="B65" s="3"/>
      <c r="C65" t="s">
        <v>111</v>
      </c>
      <c r="D65" s="8" t="str">
        <f>VLOOKUP(D64,Productos!$B$2:$G$65000,2,FALSE)</f>
        <v>ACOPLE TIPO GARRA -CHICAGO DE BRONCE DE 11/4"</v>
      </c>
      <c r="E65" s="4"/>
    </row>
    <row r="66" spans="2:5" x14ac:dyDescent="0.3">
      <c r="B66" s="3"/>
      <c r="C66" t="s">
        <v>112</v>
      </c>
      <c r="D66" s="8" t="str">
        <f>VLOOKUP(D64,Productos!$B$2:$G$65000,4,FALSE)</f>
        <v>TUBOS</v>
      </c>
      <c r="E66" s="4"/>
    </row>
    <row r="67" spans="2:5" x14ac:dyDescent="0.3">
      <c r="B67" s="3"/>
      <c r="C67" t="s">
        <v>113</v>
      </c>
      <c r="D67" s="8" t="str">
        <f>VLOOKUP(D64,Productos!$B$2:$G$65000,3,FALSE)</f>
        <v>UNIDADES</v>
      </c>
      <c r="E67" s="4"/>
    </row>
    <row r="68" spans="2:5" x14ac:dyDescent="0.3">
      <c r="B68" s="3"/>
      <c r="C68" t="s">
        <v>114</v>
      </c>
      <c r="D68" s="9">
        <f>VLOOKUP(D64,Productos!$B$2:$G$65000,5,FALSE)</f>
        <v>409</v>
      </c>
      <c r="E68" s="4"/>
    </row>
    <row r="69" spans="2:5" x14ac:dyDescent="0.3">
      <c r="B69" s="3"/>
      <c r="C69" t="s">
        <v>115</v>
      </c>
      <c r="D69" s="9">
        <f>VLOOKUP(D64,Productos!$B$2:$G$65000,6,FALSE)</f>
        <v>223</v>
      </c>
      <c r="E69" s="4"/>
    </row>
    <row r="70" spans="2:5" ht="15" thickBot="1" x14ac:dyDescent="0.35">
      <c r="B70" s="5"/>
      <c r="C70" s="6"/>
      <c r="D70" s="6"/>
      <c r="E70" s="7"/>
    </row>
    <row r="71" spans="2:5" ht="15" thickBot="1" x14ac:dyDescent="0.35"/>
    <row r="72" spans="2:5" x14ac:dyDescent="0.3">
      <c r="B72" s="10" t="s">
        <v>109</v>
      </c>
      <c r="C72" s="11"/>
      <c r="D72" s="11"/>
      <c r="E72" s="12"/>
    </row>
    <row r="73" spans="2:5" x14ac:dyDescent="0.3">
      <c r="B73" s="3"/>
      <c r="E73" s="4"/>
    </row>
    <row r="74" spans="2:5" x14ac:dyDescent="0.3">
      <c r="B74" s="3"/>
      <c r="C74" t="s">
        <v>110</v>
      </c>
      <c r="D74" s="8" t="s">
        <v>17</v>
      </c>
      <c r="E74" s="4"/>
    </row>
    <row r="75" spans="2:5" x14ac:dyDescent="0.3">
      <c r="B75" s="3"/>
      <c r="C75" t="s">
        <v>111</v>
      </c>
      <c r="D75" s="8" t="str">
        <f>VLOOKUP(D74,Productos!$B$2:$G$65000,2,FALSE)</f>
        <v>AGENTE REDUCTOR LIQUIDO DE NOX-SKANNPOWER</v>
      </c>
      <c r="E75" s="4"/>
    </row>
    <row r="76" spans="2:5" x14ac:dyDescent="0.3">
      <c r="B76" s="3"/>
      <c r="C76" t="s">
        <v>112</v>
      </c>
      <c r="D76" s="8" t="str">
        <f>VLOOKUP(D74,Productos!$B$2:$G$65000,4,FALSE)</f>
        <v>TUBOS</v>
      </c>
      <c r="E76" s="4"/>
    </row>
    <row r="77" spans="2:5" x14ac:dyDescent="0.3">
      <c r="B77" s="3"/>
      <c r="C77" t="s">
        <v>113</v>
      </c>
      <c r="D77" s="8" t="str">
        <f>VLOOKUP(D74,Productos!$B$2:$G$65000,3,FALSE)</f>
        <v>UNIDADES</v>
      </c>
      <c r="E77" s="4"/>
    </row>
    <row r="78" spans="2:5" x14ac:dyDescent="0.3">
      <c r="B78" s="3"/>
      <c r="C78" t="s">
        <v>114</v>
      </c>
      <c r="D78" s="9">
        <f>VLOOKUP(D74,Productos!$B$2:$G$65000,5,FALSE)</f>
        <v>411</v>
      </c>
      <c r="E78" s="4"/>
    </row>
    <row r="79" spans="2:5" x14ac:dyDescent="0.3">
      <c r="B79" s="3"/>
      <c r="C79" t="s">
        <v>115</v>
      </c>
      <c r="D79" s="9">
        <f>VLOOKUP(D74,Productos!$B$2:$G$65000,6,FALSE)</f>
        <v>217</v>
      </c>
      <c r="E79" s="4"/>
    </row>
    <row r="80" spans="2:5" ht="15" thickBot="1" x14ac:dyDescent="0.35">
      <c r="B80" s="5"/>
      <c r="C80" s="6"/>
      <c r="D80" s="6"/>
      <c r="E80" s="7"/>
    </row>
    <row r="81" spans="2:5" ht="15" thickBot="1" x14ac:dyDescent="0.35"/>
    <row r="82" spans="2:5" x14ac:dyDescent="0.3">
      <c r="B82" s="10" t="s">
        <v>109</v>
      </c>
      <c r="C82" s="11"/>
      <c r="D82" s="11"/>
      <c r="E82" s="12"/>
    </row>
    <row r="83" spans="2:5" x14ac:dyDescent="0.3">
      <c r="B83" s="3"/>
      <c r="E83" s="4"/>
    </row>
    <row r="84" spans="2:5" x14ac:dyDescent="0.3">
      <c r="B84" s="3"/>
      <c r="C84" t="s">
        <v>110</v>
      </c>
      <c r="D84" s="8" t="s">
        <v>19</v>
      </c>
      <c r="E84" s="4"/>
    </row>
    <row r="85" spans="2:5" x14ac:dyDescent="0.3">
      <c r="B85" s="3"/>
      <c r="C85" t="s">
        <v>111</v>
      </c>
      <c r="D85" s="8" t="str">
        <f>VLOOKUP(D84,Productos!$B$2:$G$65000,2,FALSE)</f>
        <v>ALAMBRE ACERO AL CARBONO MIG-ASV</v>
      </c>
      <c r="E85" s="4"/>
    </row>
    <row r="86" spans="2:5" x14ac:dyDescent="0.3">
      <c r="B86" s="3"/>
      <c r="C86" t="s">
        <v>112</v>
      </c>
      <c r="D86" s="8" t="str">
        <f>VLOOKUP(D84,Productos!$B$2:$G$65000,4,FALSE)</f>
        <v>TUBOS</v>
      </c>
      <c r="E86" s="4"/>
    </row>
    <row r="87" spans="2:5" x14ac:dyDescent="0.3">
      <c r="B87" s="3"/>
      <c r="C87" t="s">
        <v>113</v>
      </c>
      <c r="D87" s="8" t="str">
        <f>VLOOKUP(D84,Productos!$B$2:$G$65000,3,FALSE)</f>
        <v>UNIDADES</v>
      </c>
      <c r="E87" s="4"/>
    </row>
    <row r="88" spans="2:5" x14ac:dyDescent="0.3">
      <c r="B88" s="3"/>
      <c r="C88" t="s">
        <v>114</v>
      </c>
      <c r="D88" s="9">
        <f>VLOOKUP(D84,Productos!$B$2:$G$65000,5,FALSE)</f>
        <v>443</v>
      </c>
      <c r="E88" s="4"/>
    </row>
    <row r="89" spans="2:5" x14ac:dyDescent="0.3">
      <c r="B89" s="3"/>
      <c r="C89" t="s">
        <v>115</v>
      </c>
      <c r="D89" s="9">
        <f>VLOOKUP(D84,Productos!$B$2:$G$65000,6,FALSE)</f>
        <v>924</v>
      </c>
      <c r="E89" s="4"/>
    </row>
    <row r="90" spans="2:5" ht="15" thickBot="1" x14ac:dyDescent="0.35">
      <c r="B90" s="5"/>
      <c r="C90" s="6"/>
      <c r="D90" s="6"/>
      <c r="E90" s="7"/>
    </row>
    <row r="91" spans="2:5" ht="15" thickBot="1" x14ac:dyDescent="0.35"/>
    <row r="92" spans="2:5" x14ac:dyDescent="0.3">
      <c r="B92" s="10" t="s">
        <v>109</v>
      </c>
      <c r="C92" s="11"/>
      <c r="D92" s="11"/>
      <c r="E92" s="12"/>
    </row>
    <row r="93" spans="2:5" x14ac:dyDescent="0.3">
      <c r="B93" s="3"/>
      <c r="E93" s="4"/>
    </row>
    <row r="94" spans="2:5" x14ac:dyDescent="0.3">
      <c r="B94" s="3"/>
      <c r="C94" t="s">
        <v>110</v>
      </c>
      <c r="D94" s="8" t="s">
        <v>21</v>
      </c>
      <c r="E94" s="4"/>
    </row>
    <row r="95" spans="2:5" x14ac:dyDescent="0.3">
      <c r="B95" s="3"/>
      <c r="C95" t="s">
        <v>111</v>
      </c>
      <c r="D95" s="8" t="str">
        <f>VLOOKUP(D94,Productos!$B$2:$G$65000,2,FALSE)</f>
        <v>ALAMBRE TUBULAR EXATUB 71 1.2MM</v>
      </c>
      <c r="E95" s="4"/>
    </row>
    <row r="96" spans="2:5" x14ac:dyDescent="0.3">
      <c r="B96" s="3"/>
      <c r="C96" t="s">
        <v>112</v>
      </c>
      <c r="D96" s="8" t="str">
        <f>VLOOKUP(D94,Productos!$B$2:$G$65000,4,FALSE)</f>
        <v>TUBOS</v>
      </c>
      <c r="E96" s="4"/>
    </row>
    <row r="97" spans="2:5" x14ac:dyDescent="0.3">
      <c r="B97" s="3"/>
      <c r="C97" t="s">
        <v>113</v>
      </c>
      <c r="D97" s="8" t="str">
        <f>VLOOKUP(D94,Productos!$B$2:$G$65000,3,FALSE)</f>
        <v>UNIDADES</v>
      </c>
      <c r="E97" s="4"/>
    </row>
    <row r="98" spans="2:5" x14ac:dyDescent="0.3">
      <c r="B98" s="3"/>
      <c r="C98" t="s">
        <v>114</v>
      </c>
      <c r="D98" s="9">
        <f>VLOOKUP(D94,Productos!$B$2:$G$65000,5,FALSE)</f>
        <v>239</v>
      </c>
      <c r="E98" s="4"/>
    </row>
    <row r="99" spans="2:5" x14ac:dyDescent="0.3">
      <c r="B99" s="3"/>
      <c r="C99" t="s">
        <v>115</v>
      </c>
      <c r="D99" s="9">
        <f>VLOOKUP(D94,Productos!$B$2:$G$65000,6,FALSE)</f>
        <v>800</v>
      </c>
      <c r="E99" s="4"/>
    </row>
    <row r="100" spans="2:5" ht="15" thickBot="1" x14ac:dyDescent="0.35">
      <c r="B100" s="5"/>
      <c r="C100" s="6"/>
      <c r="D100" s="6"/>
      <c r="E100" s="7"/>
    </row>
    <row r="101" spans="2:5" ht="15" thickBot="1" x14ac:dyDescent="0.35"/>
    <row r="102" spans="2:5" x14ac:dyDescent="0.3">
      <c r="B102" s="10" t="s">
        <v>109</v>
      </c>
      <c r="C102" s="11"/>
      <c r="D102" s="11"/>
      <c r="E102" s="12"/>
    </row>
    <row r="103" spans="2:5" x14ac:dyDescent="0.3">
      <c r="B103" s="3"/>
      <c r="E103" s="4"/>
    </row>
    <row r="104" spans="2:5" x14ac:dyDescent="0.3">
      <c r="B104" s="3"/>
      <c r="C104" t="s">
        <v>110</v>
      </c>
      <c r="D104" s="8" t="s">
        <v>23</v>
      </c>
      <c r="E104" s="4"/>
    </row>
    <row r="105" spans="2:5" x14ac:dyDescent="0.3">
      <c r="B105" s="3"/>
      <c r="C105" t="s">
        <v>111</v>
      </c>
      <c r="D105" s="8" t="str">
        <f>VLOOKUP(D104,Productos!$B$2:$G$65000,2,FALSE)</f>
        <v>ALARMA DETECTOR DE HUMO 12-24V</v>
      </c>
      <c r="E105" s="4"/>
    </row>
    <row r="106" spans="2:5" x14ac:dyDescent="0.3">
      <c r="B106" s="3"/>
      <c r="C106" t="s">
        <v>112</v>
      </c>
      <c r="D106" s="8" t="str">
        <f>VLOOKUP(D104,Productos!$B$2:$G$65000,4,FALSE)</f>
        <v>TUBOS</v>
      </c>
      <c r="E106" s="4"/>
    </row>
    <row r="107" spans="2:5" x14ac:dyDescent="0.3">
      <c r="B107" s="3"/>
      <c r="C107" t="s">
        <v>113</v>
      </c>
      <c r="D107" s="8" t="str">
        <f>VLOOKUP(D104,Productos!$B$2:$G$65000,3,FALSE)</f>
        <v>UNIDADES</v>
      </c>
      <c r="E107" s="4"/>
    </row>
    <row r="108" spans="2:5" x14ac:dyDescent="0.3">
      <c r="B108" s="3"/>
      <c r="C108" t="s">
        <v>114</v>
      </c>
      <c r="D108" s="9">
        <f>VLOOKUP(D104,Productos!$B$2:$G$65000,5,FALSE)</f>
        <v>578</v>
      </c>
      <c r="E108" s="4"/>
    </row>
    <row r="109" spans="2:5" x14ac:dyDescent="0.3">
      <c r="B109" s="3"/>
      <c r="C109" t="s">
        <v>115</v>
      </c>
      <c r="D109" s="9">
        <f>VLOOKUP(D104,Productos!$B$2:$G$65000,6,FALSE)</f>
        <v>817</v>
      </c>
      <c r="E109" s="4"/>
    </row>
    <row r="110" spans="2:5" ht="15" thickBot="1" x14ac:dyDescent="0.35">
      <c r="B110" s="5"/>
      <c r="C110" s="6"/>
      <c r="D110" s="6"/>
      <c r="E110" s="7"/>
    </row>
    <row r="111" spans="2:5" ht="15" thickBot="1" x14ac:dyDescent="0.35"/>
    <row r="112" spans="2:5" x14ac:dyDescent="0.3">
      <c r="B112" s="10" t="s">
        <v>109</v>
      </c>
      <c r="C112" s="11"/>
      <c r="D112" s="11"/>
      <c r="E112" s="12"/>
    </row>
    <row r="113" spans="2:5" x14ac:dyDescent="0.3">
      <c r="B113" s="3"/>
      <c r="E113" s="4"/>
    </row>
    <row r="114" spans="2:5" x14ac:dyDescent="0.3">
      <c r="B114" s="3"/>
      <c r="C114" t="s">
        <v>110</v>
      </c>
      <c r="D114" s="8" t="s">
        <v>25</v>
      </c>
      <c r="E114" s="4"/>
    </row>
    <row r="115" spans="2:5" x14ac:dyDescent="0.3">
      <c r="B115" s="3"/>
      <c r="C115" t="s">
        <v>111</v>
      </c>
      <c r="D115" s="8" t="str">
        <f>VLOOKUP(D114,Productos!$B$2:$G$65000,2,FALSE)</f>
        <v xml:space="preserve">ALCOHOL 70º </v>
      </c>
      <c r="E115" s="4"/>
    </row>
    <row r="116" spans="2:5" x14ac:dyDescent="0.3">
      <c r="B116" s="3"/>
      <c r="C116" t="s">
        <v>112</v>
      </c>
      <c r="D116" s="8" t="str">
        <f>VLOOKUP(D114,Productos!$B$2:$G$65000,4,FALSE)</f>
        <v>TUBOS</v>
      </c>
      <c r="E116" s="4"/>
    </row>
    <row r="117" spans="2:5" x14ac:dyDescent="0.3">
      <c r="B117" s="3"/>
      <c r="C117" t="s">
        <v>113</v>
      </c>
      <c r="D117" s="8" t="str">
        <f>VLOOKUP(D114,Productos!$B$2:$G$65000,3,FALSE)</f>
        <v>UNIDADES</v>
      </c>
      <c r="E117" s="4"/>
    </row>
    <row r="118" spans="2:5" x14ac:dyDescent="0.3">
      <c r="B118" s="3"/>
      <c r="C118" t="s">
        <v>114</v>
      </c>
      <c r="D118" s="9">
        <f>VLOOKUP(D114,Productos!$B$2:$G$65000,5,FALSE)</f>
        <v>766</v>
      </c>
      <c r="E118" s="4"/>
    </row>
    <row r="119" spans="2:5" x14ac:dyDescent="0.3">
      <c r="B119" s="3"/>
      <c r="C119" t="s">
        <v>115</v>
      </c>
      <c r="D119" s="9">
        <f>VLOOKUP(D114,Productos!$B$2:$G$65000,6,FALSE)</f>
        <v>150</v>
      </c>
      <c r="E119" s="4"/>
    </row>
    <row r="120" spans="2:5" ht="15" thickBot="1" x14ac:dyDescent="0.35">
      <c r="B120" s="5"/>
      <c r="C120" s="6"/>
      <c r="D120" s="6"/>
      <c r="E120" s="7"/>
    </row>
    <row r="121" spans="2:5" ht="15" thickBot="1" x14ac:dyDescent="0.35"/>
    <row r="122" spans="2:5" x14ac:dyDescent="0.3">
      <c r="B122" s="10" t="s">
        <v>109</v>
      </c>
      <c r="C122" s="11"/>
      <c r="D122" s="11"/>
      <c r="E122" s="12"/>
    </row>
    <row r="123" spans="2:5" x14ac:dyDescent="0.3">
      <c r="B123" s="3"/>
      <c r="E123" s="4"/>
    </row>
    <row r="124" spans="2:5" x14ac:dyDescent="0.3">
      <c r="B124" s="3"/>
      <c r="C124" t="s">
        <v>110</v>
      </c>
      <c r="D124" s="8" t="s">
        <v>27</v>
      </c>
      <c r="E124" s="4"/>
    </row>
    <row r="125" spans="2:5" x14ac:dyDescent="0.3">
      <c r="B125" s="3"/>
      <c r="C125" t="s">
        <v>111</v>
      </c>
      <c r="D125" s="8" t="str">
        <f>VLOOKUP(D124,Productos!$B$2:$G$65000,2,FALSE)</f>
        <v>ANILLO DISTRIBUIDOR 220857-85-A</v>
      </c>
      <c r="E125" s="4"/>
    </row>
    <row r="126" spans="2:5" x14ac:dyDescent="0.3">
      <c r="B126" s="3"/>
      <c r="C126" t="s">
        <v>112</v>
      </c>
      <c r="D126" s="8" t="str">
        <f>VLOOKUP(D124,Productos!$B$2:$G$65000,4,FALSE)</f>
        <v>TUBOS</v>
      </c>
      <c r="E126" s="4"/>
    </row>
    <row r="127" spans="2:5" x14ac:dyDescent="0.3">
      <c r="B127" s="3"/>
      <c r="C127" t="s">
        <v>113</v>
      </c>
      <c r="D127" s="8" t="str">
        <f>VLOOKUP(D124,Productos!$B$2:$G$65000,3,FALSE)</f>
        <v>UNIDADES</v>
      </c>
      <c r="E127" s="4"/>
    </row>
    <row r="128" spans="2:5" x14ac:dyDescent="0.3">
      <c r="B128" s="3"/>
      <c r="C128" t="s">
        <v>114</v>
      </c>
      <c r="D128" s="9">
        <f>VLOOKUP(D124,Productos!$B$2:$G$65000,5,FALSE)</f>
        <v>883</v>
      </c>
      <c r="E128" s="4"/>
    </row>
    <row r="129" spans="2:5" x14ac:dyDescent="0.3">
      <c r="B129" s="3"/>
      <c r="C129" t="s">
        <v>115</v>
      </c>
      <c r="D129" s="9">
        <f>VLOOKUP(D124,Productos!$B$2:$G$65000,6,FALSE)</f>
        <v>871</v>
      </c>
      <c r="E129" s="4"/>
    </row>
    <row r="130" spans="2:5" ht="15" thickBot="1" x14ac:dyDescent="0.35">
      <c r="B130" s="5"/>
      <c r="C130" s="6"/>
      <c r="D130" s="6"/>
      <c r="E130" s="7"/>
    </row>
    <row r="131" spans="2:5" ht="15" thickBot="1" x14ac:dyDescent="0.35"/>
    <row r="132" spans="2:5" x14ac:dyDescent="0.3">
      <c r="B132" s="10" t="s">
        <v>109</v>
      </c>
      <c r="C132" s="11"/>
      <c r="D132" s="11"/>
      <c r="E132" s="12"/>
    </row>
    <row r="133" spans="2:5" x14ac:dyDescent="0.3">
      <c r="B133" s="3"/>
      <c r="E133" s="4"/>
    </row>
    <row r="134" spans="2:5" x14ac:dyDescent="0.3">
      <c r="B134" s="3"/>
      <c r="C134" t="s">
        <v>110</v>
      </c>
      <c r="D134" s="8" t="s">
        <v>29</v>
      </c>
      <c r="E134" s="4"/>
    </row>
    <row r="135" spans="2:5" x14ac:dyDescent="0.3">
      <c r="B135" s="3"/>
      <c r="C135" t="s">
        <v>111</v>
      </c>
      <c r="D135" s="8" t="str">
        <f>VLOOKUP(D134,Productos!$B$2:$G$65000,2,FALSE)</f>
        <v>ANILLO DISTRIBUIDOR 220994-105-A</v>
      </c>
      <c r="E135" s="4"/>
    </row>
    <row r="136" spans="2:5" x14ac:dyDescent="0.3">
      <c r="B136" s="3"/>
      <c r="C136" t="s">
        <v>112</v>
      </c>
      <c r="D136" s="8" t="str">
        <f>VLOOKUP(D134,Productos!$B$2:$G$65000,4,FALSE)</f>
        <v>TUBOS</v>
      </c>
      <c r="E136" s="4"/>
    </row>
    <row r="137" spans="2:5" x14ac:dyDescent="0.3">
      <c r="B137" s="3"/>
      <c r="C137" t="s">
        <v>113</v>
      </c>
      <c r="D137" s="8" t="str">
        <f>VLOOKUP(D134,Productos!$B$2:$G$65000,3,FALSE)</f>
        <v>UNIDADES</v>
      </c>
      <c r="E137" s="4"/>
    </row>
    <row r="138" spans="2:5" x14ac:dyDescent="0.3">
      <c r="B138" s="3"/>
      <c r="C138" t="s">
        <v>114</v>
      </c>
      <c r="D138" s="9">
        <f>VLOOKUP(D134,Productos!$B$2:$G$65000,5,FALSE)</f>
        <v>927</v>
      </c>
      <c r="E138" s="4"/>
    </row>
    <row r="139" spans="2:5" x14ac:dyDescent="0.3">
      <c r="B139" s="3"/>
      <c r="C139" t="s">
        <v>115</v>
      </c>
      <c r="D139" s="9">
        <f>VLOOKUP(D134,Productos!$B$2:$G$65000,6,FALSE)</f>
        <v>624</v>
      </c>
      <c r="E139" s="4"/>
    </row>
    <row r="140" spans="2:5" ht="15" thickBot="1" x14ac:dyDescent="0.35">
      <c r="B140" s="5"/>
      <c r="C140" s="6"/>
      <c r="D140" s="6"/>
      <c r="E140" s="7"/>
    </row>
    <row r="141" spans="2:5" ht="15" thickBot="1" x14ac:dyDescent="0.35"/>
    <row r="142" spans="2:5" x14ac:dyDescent="0.3">
      <c r="B142" s="10" t="s">
        <v>109</v>
      </c>
      <c r="C142" s="11"/>
      <c r="D142" s="11"/>
      <c r="E142" s="12"/>
    </row>
    <row r="143" spans="2:5" x14ac:dyDescent="0.3">
      <c r="B143" s="3"/>
      <c r="E143" s="4"/>
    </row>
    <row r="144" spans="2:5" x14ac:dyDescent="0.3">
      <c r="B144" s="3"/>
      <c r="C144" t="s">
        <v>110</v>
      </c>
      <c r="D144" s="8" t="s">
        <v>31</v>
      </c>
      <c r="E144" s="4"/>
    </row>
    <row r="145" spans="2:5" x14ac:dyDescent="0.3">
      <c r="B145" s="3"/>
      <c r="C145" t="s">
        <v>111</v>
      </c>
      <c r="D145" s="8" t="str">
        <f>VLOOKUP(D144,Productos!$B$2:$G$65000,2,FALSE)</f>
        <v>ANILLO REDONDO DE GOMA DE 1/4"</v>
      </c>
      <c r="E145" s="4"/>
    </row>
    <row r="146" spans="2:5" x14ac:dyDescent="0.3">
      <c r="B146" s="3"/>
      <c r="C146" t="s">
        <v>112</v>
      </c>
      <c r="D146" s="8" t="str">
        <f>VLOOKUP(D144,Productos!$B$2:$G$65000,4,FALSE)</f>
        <v>TUBOS</v>
      </c>
      <c r="E146" s="4"/>
    </row>
    <row r="147" spans="2:5" x14ac:dyDescent="0.3">
      <c r="B147" s="3"/>
      <c r="C147" t="s">
        <v>113</v>
      </c>
      <c r="D147" s="8" t="str">
        <f>VLOOKUP(D144,Productos!$B$2:$G$65000,3,FALSE)</f>
        <v>UNIDADES</v>
      </c>
      <c r="E147" s="4"/>
    </row>
    <row r="148" spans="2:5" x14ac:dyDescent="0.3">
      <c r="B148" s="3"/>
      <c r="C148" t="s">
        <v>114</v>
      </c>
      <c r="D148" s="9">
        <f>VLOOKUP(D144,Productos!$B$2:$G$65000,5,FALSE)</f>
        <v>490</v>
      </c>
      <c r="E148" s="4"/>
    </row>
    <row r="149" spans="2:5" x14ac:dyDescent="0.3">
      <c r="B149" s="3"/>
      <c r="C149" t="s">
        <v>115</v>
      </c>
      <c r="D149" s="9">
        <f>VLOOKUP(D144,Productos!$B$2:$G$65000,6,FALSE)</f>
        <v>693</v>
      </c>
      <c r="E149" s="4"/>
    </row>
    <row r="150" spans="2:5" ht="15" thickBot="1" x14ac:dyDescent="0.35">
      <c r="B150" s="5"/>
      <c r="C150" s="6"/>
      <c r="D150" s="6"/>
      <c r="E150" s="7"/>
    </row>
    <row r="151" spans="2:5" ht="15" thickBot="1" x14ac:dyDescent="0.35"/>
    <row r="152" spans="2:5" x14ac:dyDescent="0.3">
      <c r="B152" s="10" t="s">
        <v>109</v>
      </c>
      <c r="C152" s="11"/>
      <c r="D152" s="11"/>
      <c r="E152" s="12"/>
    </row>
    <row r="153" spans="2:5" x14ac:dyDescent="0.3">
      <c r="B153" s="3"/>
      <c r="E153" s="4"/>
    </row>
    <row r="154" spans="2:5" x14ac:dyDescent="0.3">
      <c r="B154" s="3"/>
      <c r="C154" t="s">
        <v>110</v>
      </c>
      <c r="D154" s="8" t="s">
        <v>33</v>
      </c>
      <c r="E154" s="4"/>
    </row>
    <row r="155" spans="2:5" x14ac:dyDescent="0.3">
      <c r="B155" s="3"/>
      <c r="C155" t="s">
        <v>111</v>
      </c>
      <c r="D155" s="8" t="str">
        <f>VLOOKUP(D154,Productos!$B$2:$G$65000,2,FALSE)</f>
        <v>ANILLO REDONDO DE GOMA DE 3/16"</v>
      </c>
      <c r="E155" s="4"/>
    </row>
    <row r="156" spans="2:5" x14ac:dyDescent="0.3">
      <c r="B156" s="3"/>
      <c r="C156" t="s">
        <v>112</v>
      </c>
      <c r="D156" s="8" t="str">
        <f>VLOOKUP(D154,Productos!$B$2:$G$65000,4,FALSE)</f>
        <v>TUBOS</v>
      </c>
      <c r="E156" s="4"/>
    </row>
    <row r="157" spans="2:5" x14ac:dyDescent="0.3">
      <c r="B157" s="3"/>
      <c r="C157" t="s">
        <v>113</v>
      </c>
      <c r="D157" s="8" t="str">
        <f>VLOOKUP(D154,Productos!$B$2:$G$65000,3,FALSE)</f>
        <v>UNIDADES</v>
      </c>
      <c r="E157" s="4"/>
    </row>
    <row r="158" spans="2:5" x14ac:dyDescent="0.3">
      <c r="B158" s="3"/>
      <c r="C158" t="s">
        <v>114</v>
      </c>
      <c r="D158" s="9">
        <f>VLOOKUP(D154,Productos!$B$2:$G$65000,5,FALSE)</f>
        <v>438</v>
      </c>
      <c r="E158" s="4"/>
    </row>
    <row r="159" spans="2:5" x14ac:dyDescent="0.3">
      <c r="B159" s="3"/>
      <c r="C159" t="s">
        <v>115</v>
      </c>
      <c r="D159" s="9">
        <f>VLOOKUP(D154,Productos!$B$2:$G$65000,6,FALSE)</f>
        <v>221</v>
      </c>
      <c r="E159" s="4"/>
    </row>
    <row r="160" spans="2:5" ht="15" thickBot="1" x14ac:dyDescent="0.35">
      <c r="B160" s="5"/>
      <c r="C160" s="6"/>
      <c r="D160" s="6"/>
      <c r="E160" s="7"/>
    </row>
    <row r="161" spans="2:5" ht="15" thickBot="1" x14ac:dyDescent="0.35"/>
    <row r="162" spans="2:5" x14ac:dyDescent="0.3">
      <c r="B162" s="10" t="s">
        <v>109</v>
      </c>
      <c r="C162" s="11"/>
      <c r="D162" s="11"/>
      <c r="E162" s="12"/>
    </row>
    <row r="163" spans="2:5" x14ac:dyDescent="0.3">
      <c r="B163" s="3"/>
      <c r="E163" s="4"/>
    </row>
    <row r="164" spans="2:5" x14ac:dyDescent="0.3">
      <c r="B164" s="3"/>
      <c r="C164" t="s">
        <v>110</v>
      </c>
      <c r="D164" s="8" t="s">
        <v>35</v>
      </c>
      <c r="E164" s="4"/>
    </row>
    <row r="165" spans="2:5" x14ac:dyDescent="0.3">
      <c r="B165" s="3"/>
      <c r="C165" t="s">
        <v>111</v>
      </c>
      <c r="D165" s="8" t="str">
        <f>VLOOKUP(D164,Productos!$B$2:$G$65000,2,FALSE)</f>
        <v>APORTE AC 3/32" 54/38</v>
      </c>
      <c r="E165" s="4"/>
    </row>
    <row r="166" spans="2:5" x14ac:dyDescent="0.3">
      <c r="B166" s="3"/>
      <c r="C166" t="s">
        <v>112</v>
      </c>
      <c r="D166" s="8" t="str">
        <f>VLOOKUP(D164,Productos!$B$2:$G$65000,4,FALSE)</f>
        <v>TUBOS</v>
      </c>
      <c r="E166" s="4"/>
    </row>
    <row r="167" spans="2:5" x14ac:dyDescent="0.3">
      <c r="B167" s="3"/>
      <c r="C167" t="s">
        <v>113</v>
      </c>
      <c r="D167" s="8" t="str">
        <f>VLOOKUP(D164,Productos!$B$2:$G$65000,3,FALSE)</f>
        <v>UNIDADES</v>
      </c>
      <c r="E167" s="4"/>
    </row>
    <row r="168" spans="2:5" x14ac:dyDescent="0.3">
      <c r="B168" s="3"/>
      <c r="C168" t="s">
        <v>114</v>
      </c>
      <c r="D168" s="9">
        <f>VLOOKUP(D164,Productos!$B$2:$G$65000,5,FALSE)</f>
        <v>670</v>
      </c>
      <c r="E168" s="4"/>
    </row>
    <row r="169" spans="2:5" x14ac:dyDescent="0.3">
      <c r="B169" s="3"/>
      <c r="C169" t="s">
        <v>115</v>
      </c>
      <c r="D169" s="9">
        <f>VLOOKUP(D164,Productos!$B$2:$G$65000,6,FALSE)</f>
        <v>187</v>
      </c>
      <c r="E169" s="4"/>
    </row>
    <row r="170" spans="2:5" ht="15" thickBot="1" x14ac:dyDescent="0.35">
      <c r="B170" s="5"/>
      <c r="C170" s="6"/>
      <c r="D170" s="6"/>
      <c r="E170" s="7"/>
    </row>
    <row r="171" spans="2:5" ht="15" thickBot="1" x14ac:dyDescent="0.35"/>
    <row r="172" spans="2:5" x14ac:dyDescent="0.3">
      <c r="B172" s="10" t="s">
        <v>109</v>
      </c>
      <c r="C172" s="11"/>
      <c r="D172" s="11"/>
      <c r="E172" s="12"/>
    </row>
    <row r="173" spans="2:5" x14ac:dyDescent="0.3">
      <c r="B173" s="3"/>
      <c r="E173" s="4"/>
    </row>
    <row r="174" spans="2:5" x14ac:dyDescent="0.3">
      <c r="B174" s="3"/>
      <c r="C174" t="s">
        <v>110</v>
      </c>
      <c r="D174" s="8" t="s">
        <v>37</v>
      </c>
      <c r="E174" s="4"/>
    </row>
    <row r="175" spans="2:5" x14ac:dyDescent="0.3">
      <c r="B175" s="3"/>
      <c r="C175" t="s">
        <v>111</v>
      </c>
      <c r="D175" s="8" t="str">
        <f>VLOOKUP(D174,Productos!$B$2:$G$65000,2,FALSE)</f>
        <v>APORTE AC 3/32" 905-B-3</v>
      </c>
      <c r="E175" s="4"/>
    </row>
    <row r="176" spans="2:5" x14ac:dyDescent="0.3">
      <c r="B176" s="3"/>
      <c r="C176" t="s">
        <v>112</v>
      </c>
      <c r="D176" s="8" t="str">
        <f>VLOOKUP(D174,Productos!$B$2:$G$65000,4,FALSE)</f>
        <v>TUBOS</v>
      </c>
      <c r="E176" s="4"/>
    </row>
    <row r="177" spans="2:5" x14ac:dyDescent="0.3">
      <c r="B177" s="3"/>
      <c r="C177" t="s">
        <v>113</v>
      </c>
      <c r="D177" s="8" t="str">
        <f>VLOOKUP(D174,Productos!$B$2:$G$65000,3,FALSE)</f>
        <v>UNIDADES</v>
      </c>
      <c r="E177" s="4"/>
    </row>
    <row r="178" spans="2:5" x14ac:dyDescent="0.3">
      <c r="B178" s="3"/>
      <c r="C178" t="s">
        <v>114</v>
      </c>
      <c r="D178" s="9">
        <f>VLOOKUP(D174,Productos!$B$2:$G$65000,5,FALSE)</f>
        <v>227</v>
      </c>
      <c r="E178" s="4"/>
    </row>
    <row r="179" spans="2:5" x14ac:dyDescent="0.3">
      <c r="B179" s="3"/>
      <c r="C179" t="s">
        <v>115</v>
      </c>
      <c r="D179" s="9">
        <f>VLOOKUP(D174,Productos!$B$2:$G$65000,6,FALSE)</f>
        <v>198</v>
      </c>
      <c r="E179" s="4"/>
    </row>
    <row r="180" spans="2:5" ht="15" thickBot="1" x14ac:dyDescent="0.35">
      <c r="B180" s="5"/>
      <c r="C180" s="6"/>
      <c r="D180" s="6"/>
      <c r="E180" s="7"/>
    </row>
    <row r="181" spans="2:5" ht="15" thickBot="1" x14ac:dyDescent="0.35"/>
    <row r="182" spans="2:5" x14ac:dyDescent="0.3">
      <c r="B182" s="10" t="s">
        <v>109</v>
      </c>
      <c r="C182" s="11"/>
      <c r="D182" s="11"/>
      <c r="E182" s="12"/>
    </row>
    <row r="183" spans="2:5" x14ac:dyDescent="0.3">
      <c r="B183" s="3"/>
      <c r="E183" s="4"/>
    </row>
    <row r="184" spans="2:5" x14ac:dyDescent="0.3">
      <c r="B184" s="3"/>
      <c r="C184" t="s">
        <v>110</v>
      </c>
      <c r="D184" s="8" t="s">
        <v>39</v>
      </c>
      <c r="E184" s="4"/>
    </row>
    <row r="185" spans="2:5" x14ac:dyDescent="0.3">
      <c r="B185" s="3"/>
      <c r="C185" t="s">
        <v>111</v>
      </c>
      <c r="D185" s="8" t="str">
        <f>VLOOKUP(D184,Productos!$B$2:$G$65000,2,FALSE)</f>
        <v>APORTE ARGON 1/8"</v>
      </c>
      <c r="E185" s="4"/>
    </row>
    <row r="186" spans="2:5" x14ac:dyDescent="0.3">
      <c r="B186" s="3"/>
      <c r="C186" t="s">
        <v>112</v>
      </c>
      <c r="D186" s="8" t="str">
        <f>VLOOKUP(D184,Productos!$B$2:$G$65000,4,FALSE)</f>
        <v>TUBOS</v>
      </c>
      <c r="E186" s="4"/>
    </row>
    <row r="187" spans="2:5" x14ac:dyDescent="0.3">
      <c r="B187" s="3"/>
      <c r="C187" t="s">
        <v>113</v>
      </c>
      <c r="D187" s="8" t="str">
        <f>VLOOKUP(D184,Productos!$B$2:$G$65000,3,FALSE)</f>
        <v>UNIDADES</v>
      </c>
      <c r="E187" s="4"/>
    </row>
    <row r="188" spans="2:5" x14ac:dyDescent="0.3">
      <c r="B188" s="3"/>
      <c r="C188" t="s">
        <v>114</v>
      </c>
      <c r="D188" s="9">
        <f>VLOOKUP(D184,Productos!$B$2:$G$65000,5,FALSE)</f>
        <v>736</v>
      </c>
      <c r="E188" s="4"/>
    </row>
    <row r="189" spans="2:5" x14ac:dyDescent="0.3">
      <c r="B189" s="3"/>
      <c r="C189" t="s">
        <v>115</v>
      </c>
      <c r="D189" s="9">
        <f>VLOOKUP(D184,Productos!$B$2:$G$65000,6,FALSE)</f>
        <v>243</v>
      </c>
      <c r="E189" s="4"/>
    </row>
    <row r="190" spans="2:5" ht="15" thickBot="1" x14ac:dyDescent="0.35">
      <c r="B190" s="5"/>
      <c r="C190" s="6"/>
      <c r="D190" s="6"/>
      <c r="E190" s="7"/>
    </row>
    <row r="191" spans="2:5" ht="15" thickBot="1" x14ac:dyDescent="0.35"/>
    <row r="192" spans="2:5" x14ac:dyDescent="0.3">
      <c r="B192" s="10" t="s">
        <v>109</v>
      </c>
      <c r="C192" s="11"/>
      <c r="D192" s="11"/>
      <c r="E192" s="12"/>
    </row>
    <row r="193" spans="2:5" x14ac:dyDescent="0.3">
      <c r="B193" s="3"/>
      <c r="E193" s="4"/>
    </row>
    <row r="194" spans="2:5" x14ac:dyDescent="0.3">
      <c r="B194" s="3"/>
      <c r="C194" t="s">
        <v>110</v>
      </c>
      <c r="D194" s="8" t="s">
        <v>41</v>
      </c>
      <c r="E194" s="4"/>
    </row>
    <row r="195" spans="2:5" x14ac:dyDescent="0.3">
      <c r="B195" s="3"/>
      <c r="C195" t="s">
        <v>111</v>
      </c>
      <c r="D195" s="8" t="str">
        <f>VLOOKUP(D194,Productos!$B$2:$G$65000,2,FALSE)</f>
        <v>APORTE INOX ER-308 1/16"</v>
      </c>
      <c r="E195" s="4"/>
    </row>
    <row r="196" spans="2:5" x14ac:dyDescent="0.3">
      <c r="B196" s="3"/>
      <c r="C196" t="s">
        <v>112</v>
      </c>
      <c r="D196" s="8" t="str">
        <f>VLOOKUP(D194,Productos!$B$2:$G$65000,4,FALSE)</f>
        <v>TUBOS</v>
      </c>
      <c r="E196" s="4"/>
    </row>
    <row r="197" spans="2:5" x14ac:dyDescent="0.3">
      <c r="B197" s="3"/>
      <c r="C197" t="s">
        <v>113</v>
      </c>
      <c r="D197" s="8" t="str">
        <f>VLOOKUP(D194,Productos!$B$2:$G$65000,3,FALSE)</f>
        <v>UNIDADES</v>
      </c>
      <c r="E197" s="4"/>
    </row>
    <row r="198" spans="2:5" x14ac:dyDescent="0.3">
      <c r="B198" s="3"/>
      <c r="C198" t="s">
        <v>114</v>
      </c>
      <c r="D198" s="9">
        <f>VLOOKUP(D194,Productos!$B$2:$G$65000,5,FALSE)</f>
        <v>888</v>
      </c>
      <c r="E198" s="4"/>
    </row>
    <row r="199" spans="2:5" x14ac:dyDescent="0.3">
      <c r="B199" s="3"/>
      <c r="C199" t="s">
        <v>115</v>
      </c>
      <c r="D199" s="9">
        <f>VLOOKUP(D194,Productos!$B$2:$G$65000,6,FALSE)</f>
        <v>640</v>
      </c>
      <c r="E199" s="4"/>
    </row>
    <row r="200" spans="2:5" ht="15" thickBot="1" x14ac:dyDescent="0.35">
      <c r="B200" s="5"/>
      <c r="C200" s="6"/>
      <c r="D200" s="6"/>
      <c r="E200" s="7"/>
    </row>
    <row r="201" spans="2:5" ht="15" thickBot="1" x14ac:dyDescent="0.35"/>
    <row r="202" spans="2:5" x14ac:dyDescent="0.3">
      <c r="B202" s="10" t="s">
        <v>109</v>
      </c>
      <c r="C202" s="11"/>
      <c r="D202" s="11"/>
      <c r="E202" s="12"/>
    </row>
    <row r="203" spans="2:5" x14ac:dyDescent="0.3">
      <c r="B203" s="3"/>
      <c r="E203" s="4"/>
    </row>
    <row r="204" spans="2:5" x14ac:dyDescent="0.3">
      <c r="B204" s="3"/>
      <c r="C204" t="s">
        <v>110</v>
      </c>
      <c r="D204" s="8" t="s">
        <v>43</v>
      </c>
      <c r="E204" s="4"/>
    </row>
    <row r="205" spans="2:5" x14ac:dyDescent="0.3">
      <c r="B205" s="3"/>
      <c r="C205" t="s">
        <v>111</v>
      </c>
      <c r="D205" s="8" t="str">
        <f>VLOOKUP(D204,Productos!$B$2:$G$65000,2,FALSE)</f>
        <v>APORTE INOX ER-308 3/32"</v>
      </c>
      <c r="E205" s="4"/>
    </row>
    <row r="206" spans="2:5" x14ac:dyDescent="0.3">
      <c r="B206" s="3"/>
      <c r="C206" t="s">
        <v>112</v>
      </c>
      <c r="D206" s="8" t="str">
        <f>VLOOKUP(D204,Productos!$B$2:$G$65000,4,FALSE)</f>
        <v>TUBOS</v>
      </c>
      <c r="E206" s="4"/>
    </row>
    <row r="207" spans="2:5" x14ac:dyDescent="0.3">
      <c r="B207" s="3"/>
      <c r="C207" t="s">
        <v>113</v>
      </c>
      <c r="D207" s="8" t="str">
        <f>VLOOKUP(D204,Productos!$B$2:$G$65000,3,FALSE)</f>
        <v>UNIDADES</v>
      </c>
      <c r="E207" s="4"/>
    </row>
    <row r="208" spans="2:5" x14ac:dyDescent="0.3">
      <c r="B208" s="3"/>
      <c r="C208" t="s">
        <v>114</v>
      </c>
      <c r="D208" s="9">
        <f>VLOOKUP(D204,Productos!$B$2:$G$65000,5,FALSE)</f>
        <v>338</v>
      </c>
      <c r="E208" s="4"/>
    </row>
    <row r="209" spans="2:5" x14ac:dyDescent="0.3">
      <c r="B209" s="3"/>
      <c r="C209" t="s">
        <v>115</v>
      </c>
      <c r="D209" s="9">
        <f>VLOOKUP(D204,Productos!$B$2:$G$65000,6,FALSE)</f>
        <v>179</v>
      </c>
      <c r="E209" s="4"/>
    </row>
    <row r="210" spans="2:5" ht="15" thickBot="1" x14ac:dyDescent="0.35">
      <c r="B210" s="5"/>
      <c r="C210" s="6"/>
      <c r="D210" s="6"/>
      <c r="E210" s="7"/>
    </row>
    <row r="211" spans="2:5" ht="15" thickBot="1" x14ac:dyDescent="0.35"/>
    <row r="212" spans="2:5" x14ac:dyDescent="0.3">
      <c r="B212" s="10" t="s">
        <v>109</v>
      </c>
      <c r="C212" s="11"/>
      <c r="D212" s="11"/>
      <c r="E212" s="12"/>
    </row>
    <row r="213" spans="2:5" x14ac:dyDescent="0.3">
      <c r="B213" s="3"/>
      <c r="E213" s="4"/>
    </row>
    <row r="214" spans="2:5" x14ac:dyDescent="0.3">
      <c r="B214" s="3"/>
      <c r="C214" t="s">
        <v>110</v>
      </c>
      <c r="D214" s="8" t="s">
        <v>45</v>
      </c>
      <c r="E214" s="4"/>
    </row>
    <row r="215" spans="2:5" x14ac:dyDescent="0.3">
      <c r="B215" s="3"/>
      <c r="C215" t="s">
        <v>111</v>
      </c>
      <c r="D215" s="8" t="str">
        <f>VLOOKUP(D214,Productos!$B$2:$G$65000,2,FALSE)</f>
        <v>APORTE INOX ER-309</v>
      </c>
      <c r="E215" s="4"/>
    </row>
    <row r="216" spans="2:5" x14ac:dyDescent="0.3">
      <c r="B216" s="3"/>
      <c r="C216" t="s">
        <v>112</v>
      </c>
      <c r="D216" s="8" t="str">
        <f>VLOOKUP(D214,Productos!$B$2:$G$65000,4,FALSE)</f>
        <v>TUBOS</v>
      </c>
      <c r="E216" s="4"/>
    </row>
    <row r="217" spans="2:5" x14ac:dyDescent="0.3">
      <c r="B217" s="3"/>
      <c r="C217" t="s">
        <v>113</v>
      </c>
      <c r="D217" s="8" t="str">
        <f>VLOOKUP(D214,Productos!$B$2:$G$65000,3,FALSE)</f>
        <v>UNIDADES</v>
      </c>
      <c r="E217" s="4"/>
    </row>
    <row r="218" spans="2:5" x14ac:dyDescent="0.3">
      <c r="B218" s="3"/>
      <c r="C218" t="s">
        <v>114</v>
      </c>
      <c r="D218" s="9">
        <f>VLOOKUP(D214,Productos!$B$2:$G$65000,5,FALSE)</f>
        <v>313</v>
      </c>
      <c r="E218" s="4"/>
    </row>
    <row r="219" spans="2:5" x14ac:dyDescent="0.3">
      <c r="B219" s="3"/>
      <c r="C219" t="s">
        <v>115</v>
      </c>
      <c r="D219" s="9">
        <f>VLOOKUP(D214,Productos!$B$2:$G$65000,6,FALSE)</f>
        <v>654</v>
      </c>
      <c r="E219" s="4"/>
    </row>
    <row r="220" spans="2:5" ht="15" thickBot="1" x14ac:dyDescent="0.35">
      <c r="B220" s="5"/>
      <c r="C220" s="6"/>
      <c r="D220" s="6"/>
      <c r="E220" s="7"/>
    </row>
    <row r="221" spans="2:5" ht="15" thickBot="1" x14ac:dyDescent="0.35"/>
    <row r="222" spans="2:5" x14ac:dyDescent="0.3">
      <c r="B222" s="10" t="s">
        <v>109</v>
      </c>
      <c r="C222" s="11"/>
      <c r="D222" s="11"/>
      <c r="E222" s="12"/>
    </row>
    <row r="223" spans="2:5" x14ac:dyDescent="0.3">
      <c r="B223" s="3"/>
      <c r="E223" s="4"/>
    </row>
    <row r="224" spans="2:5" x14ac:dyDescent="0.3">
      <c r="B224" s="3"/>
      <c r="C224" t="s">
        <v>110</v>
      </c>
      <c r="D224" s="8" t="s">
        <v>47</v>
      </c>
      <c r="E224" s="4"/>
    </row>
    <row r="225" spans="2:5" x14ac:dyDescent="0.3">
      <c r="B225" s="3"/>
      <c r="C225" t="s">
        <v>111</v>
      </c>
      <c r="D225" s="8" t="str">
        <f>VLOOKUP(D224,Productos!$B$2:$G$65000,2,FALSE)</f>
        <v>ARANDELA DE PRESION DE 3/8"</v>
      </c>
      <c r="E225" s="4"/>
    </row>
    <row r="226" spans="2:5" x14ac:dyDescent="0.3">
      <c r="B226" s="3"/>
      <c r="C226" t="s">
        <v>112</v>
      </c>
      <c r="D226" s="8" t="str">
        <f>VLOOKUP(D224,Productos!$B$2:$G$65000,4,FALSE)</f>
        <v>TUBOS</v>
      </c>
      <c r="E226" s="4"/>
    </row>
    <row r="227" spans="2:5" x14ac:dyDescent="0.3">
      <c r="B227" s="3"/>
      <c r="C227" t="s">
        <v>113</v>
      </c>
      <c r="D227" s="8" t="str">
        <f>VLOOKUP(D224,Productos!$B$2:$G$65000,3,FALSE)</f>
        <v>UNIDADES</v>
      </c>
      <c r="E227" s="4"/>
    </row>
    <row r="228" spans="2:5" x14ac:dyDescent="0.3">
      <c r="B228" s="3"/>
      <c r="C228" t="s">
        <v>114</v>
      </c>
      <c r="D228" s="9">
        <f>VLOOKUP(D224,Productos!$B$2:$G$65000,5,FALSE)</f>
        <v>694</v>
      </c>
      <c r="E228" s="4"/>
    </row>
    <row r="229" spans="2:5" x14ac:dyDescent="0.3">
      <c r="B229" s="3"/>
      <c r="C229" t="s">
        <v>115</v>
      </c>
      <c r="D229" s="9">
        <f>VLOOKUP(D224,Productos!$B$2:$G$65000,6,FALSE)</f>
        <v>104</v>
      </c>
      <c r="E229" s="4"/>
    </row>
    <row r="230" spans="2:5" ht="15" thickBot="1" x14ac:dyDescent="0.35">
      <c r="B230" s="5"/>
      <c r="C230" s="6"/>
      <c r="D230" s="6"/>
      <c r="E230" s="7"/>
    </row>
    <row r="231" spans="2:5" ht="15" thickBot="1" x14ac:dyDescent="0.35"/>
    <row r="232" spans="2:5" x14ac:dyDescent="0.3">
      <c r="B232" s="10" t="s">
        <v>109</v>
      </c>
      <c r="C232" s="11"/>
      <c r="D232" s="11"/>
      <c r="E232" s="12"/>
    </row>
    <row r="233" spans="2:5" x14ac:dyDescent="0.3">
      <c r="B233" s="3"/>
      <c r="E233" s="4"/>
    </row>
    <row r="234" spans="2:5" x14ac:dyDescent="0.3">
      <c r="B234" s="3"/>
      <c r="C234" t="s">
        <v>110</v>
      </c>
      <c r="D234" s="8" t="s">
        <v>49</v>
      </c>
      <c r="E234" s="4"/>
    </row>
    <row r="235" spans="2:5" x14ac:dyDescent="0.3">
      <c r="B235" s="3"/>
      <c r="C235" t="s">
        <v>111</v>
      </c>
      <c r="D235" s="8" t="str">
        <f>VLOOKUP(D234,Productos!$B$2:$G$65000,2,FALSE)</f>
        <v xml:space="preserve">ARCHIVADOR PLASTIFICADO OFICIO LOMO ANCHO </v>
      </c>
      <c r="E235" s="4"/>
    </row>
    <row r="236" spans="2:5" x14ac:dyDescent="0.3">
      <c r="B236" s="3"/>
      <c r="C236" t="s">
        <v>112</v>
      </c>
      <c r="D236" s="8" t="str">
        <f>VLOOKUP(D234,Productos!$B$2:$G$65000,4,FALSE)</f>
        <v>TUBOS</v>
      </c>
      <c r="E236" s="4"/>
    </row>
    <row r="237" spans="2:5" x14ac:dyDescent="0.3">
      <c r="B237" s="3"/>
      <c r="C237" t="s">
        <v>113</v>
      </c>
      <c r="D237" s="8" t="str">
        <f>VLOOKUP(D234,Productos!$B$2:$G$65000,3,FALSE)</f>
        <v>UNIDADES</v>
      </c>
      <c r="E237" s="4"/>
    </row>
    <row r="238" spans="2:5" x14ac:dyDescent="0.3">
      <c r="B238" s="3"/>
      <c r="C238" t="s">
        <v>114</v>
      </c>
      <c r="D238" s="9">
        <f>VLOOKUP(D234,Productos!$B$2:$G$65000,5,FALSE)</f>
        <v>409</v>
      </c>
      <c r="E238" s="4"/>
    </row>
    <row r="239" spans="2:5" x14ac:dyDescent="0.3">
      <c r="B239" s="3"/>
      <c r="C239" t="s">
        <v>115</v>
      </c>
      <c r="D239" s="9">
        <f>VLOOKUP(D234,Productos!$B$2:$G$65000,6,FALSE)</f>
        <v>377</v>
      </c>
      <c r="E239" s="4"/>
    </row>
    <row r="240" spans="2:5" ht="15" thickBot="1" x14ac:dyDescent="0.35">
      <c r="B240" s="5"/>
      <c r="C240" s="6"/>
      <c r="D240" s="6"/>
      <c r="E240" s="7"/>
    </row>
    <row r="241" spans="2:5" ht="15" thickBot="1" x14ac:dyDescent="0.35"/>
    <row r="242" spans="2:5" x14ac:dyDescent="0.3">
      <c r="B242" s="10" t="s">
        <v>109</v>
      </c>
      <c r="C242" s="11"/>
      <c r="D242" s="11"/>
      <c r="E242" s="12"/>
    </row>
    <row r="243" spans="2:5" x14ac:dyDescent="0.3">
      <c r="B243" s="3"/>
      <c r="E243" s="4"/>
    </row>
    <row r="244" spans="2:5" x14ac:dyDescent="0.3">
      <c r="B244" s="3"/>
      <c r="C244" t="s">
        <v>110</v>
      </c>
      <c r="D244" s="8" t="s">
        <v>51</v>
      </c>
      <c r="E244" s="4"/>
    </row>
    <row r="245" spans="2:5" x14ac:dyDescent="0.3">
      <c r="B245" s="3"/>
      <c r="C245" t="s">
        <v>111</v>
      </c>
      <c r="D245" s="8" t="str">
        <f>VLOOKUP(D244,Productos!$B$2:$G$65000,2,FALSE)</f>
        <v xml:space="preserve">ARNES DE SEGURIDAD </v>
      </c>
      <c r="E245" s="4"/>
    </row>
    <row r="246" spans="2:5" x14ac:dyDescent="0.3">
      <c r="B246" s="3"/>
      <c r="C246" t="s">
        <v>112</v>
      </c>
      <c r="D246" s="8" t="str">
        <f>VLOOKUP(D244,Productos!$B$2:$G$65000,4,FALSE)</f>
        <v>TUBOS</v>
      </c>
      <c r="E246" s="4"/>
    </row>
    <row r="247" spans="2:5" x14ac:dyDescent="0.3">
      <c r="B247" s="3"/>
      <c r="C247" t="s">
        <v>113</v>
      </c>
      <c r="D247" s="8" t="str">
        <f>VLOOKUP(D244,Productos!$B$2:$G$65000,3,FALSE)</f>
        <v>UNIDADES</v>
      </c>
      <c r="E247" s="4"/>
    </row>
    <row r="248" spans="2:5" x14ac:dyDescent="0.3">
      <c r="B248" s="3"/>
      <c r="C248" t="s">
        <v>114</v>
      </c>
      <c r="D248" s="9">
        <f>VLOOKUP(D244,Productos!$B$2:$G$65000,5,FALSE)</f>
        <v>558</v>
      </c>
      <c r="E248" s="4"/>
    </row>
    <row r="249" spans="2:5" x14ac:dyDescent="0.3">
      <c r="B249" s="3"/>
      <c r="C249" t="s">
        <v>115</v>
      </c>
      <c r="D249" s="9">
        <f>VLOOKUP(D244,Productos!$B$2:$G$65000,6,FALSE)</f>
        <v>214</v>
      </c>
      <c r="E249" s="4"/>
    </row>
    <row r="250" spans="2:5" ht="15" thickBot="1" x14ac:dyDescent="0.35">
      <c r="B250" s="5"/>
      <c r="C250" s="6"/>
      <c r="D250" s="6"/>
      <c r="E250" s="7"/>
    </row>
    <row r="251" spans="2:5" ht="15" thickBot="1" x14ac:dyDescent="0.35"/>
    <row r="252" spans="2:5" x14ac:dyDescent="0.3">
      <c r="B252" s="10" t="s">
        <v>109</v>
      </c>
      <c r="C252" s="11"/>
      <c r="D252" s="11"/>
      <c r="E252" s="12"/>
    </row>
    <row r="253" spans="2:5" x14ac:dyDescent="0.3">
      <c r="B253" s="3"/>
      <c r="E253" s="4"/>
    </row>
    <row r="254" spans="2:5" x14ac:dyDescent="0.3">
      <c r="B254" s="3"/>
      <c r="C254" t="s">
        <v>110</v>
      </c>
      <c r="D254" s="8" t="s">
        <v>53</v>
      </c>
      <c r="E254" s="4"/>
    </row>
    <row r="255" spans="2:5" x14ac:dyDescent="0.3">
      <c r="B255" s="3"/>
      <c r="C255" t="s">
        <v>111</v>
      </c>
      <c r="D255" s="8" t="str">
        <f>VLOOKUP(D254,Productos!$B$2:$G$65000,2,FALSE)</f>
        <v>LINEA DE VIDA</v>
      </c>
      <c r="E255" s="4"/>
    </row>
    <row r="256" spans="2:5" x14ac:dyDescent="0.3">
      <c r="B256" s="3"/>
      <c r="C256" t="s">
        <v>112</v>
      </c>
      <c r="D256" s="8" t="str">
        <f>VLOOKUP(D254,Productos!$B$2:$G$65000,4,FALSE)</f>
        <v>TUBOS</v>
      </c>
      <c r="E256" s="4"/>
    </row>
    <row r="257" spans="2:5" x14ac:dyDescent="0.3">
      <c r="B257" s="3"/>
      <c r="C257" t="s">
        <v>113</v>
      </c>
      <c r="D257" s="8" t="str">
        <f>VLOOKUP(D254,Productos!$B$2:$G$65000,3,FALSE)</f>
        <v>UNIDADES</v>
      </c>
      <c r="E257" s="4"/>
    </row>
    <row r="258" spans="2:5" x14ac:dyDescent="0.3">
      <c r="B258" s="3"/>
      <c r="C258" t="s">
        <v>114</v>
      </c>
      <c r="D258" s="9">
        <f>VLOOKUP(D254,Productos!$B$2:$G$65000,5,FALSE)</f>
        <v>547</v>
      </c>
      <c r="E258" s="4"/>
    </row>
    <row r="259" spans="2:5" x14ac:dyDescent="0.3">
      <c r="B259" s="3"/>
      <c r="C259" t="s">
        <v>115</v>
      </c>
      <c r="D259" s="9">
        <f>VLOOKUP(D254,Productos!$B$2:$G$65000,6,FALSE)</f>
        <v>252</v>
      </c>
      <c r="E259" s="4"/>
    </row>
    <row r="260" spans="2:5" ht="15" thickBot="1" x14ac:dyDescent="0.35">
      <c r="B260" s="5"/>
      <c r="C260" s="6"/>
      <c r="D260" s="6"/>
      <c r="E260" s="7"/>
    </row>
    <row r="261" spans="2:5" ht="15" thickBot="1" x14ac:dyDescent="0.35"/>
    <row r="262" spans="2:5" x14ac:dyDescent="0.3">
      <c r="B262" s="10" t="s">
        <v>109</v>
      </c>
      <c r="C262" s="11"/>
      <c r="D262" s="11"/>
      <c r="E262" s="12"/>
    </row>
    <row r="263" spans="2:5" x14ac:dyDescent="0.3">
      <c r="B263" s="3"/>
      <c r="E263" s="4"/>
    </row>
    <row r="264" spans="2:5" x14ac:dyDescent="0.3">
      <c r="B264" s="3"/>
      <c r="C264" t="s">
        <v>110</v>
      </c>
      <c r="D264" s="8" t="s">
        <v>55</v>
      </c>
      <c r="E264" s="4"/>
    </row>
    <row r="265" spans="2:5" x14ac:dyDescent="0.3">
      <c r="B265" s="3"/>
      <c r="C265" t="s">
        <v>111</v>
      </c>
      <c r="D265" s="8" t="str">
        <f>VLOOKUP(D264,Productos!$B$2:$G$65000,2,FALSE)</f>
        <v>ARRESTALLAMA VICTOR</v>
      </c>
      <c r="E265" s="4"/>
    </row>
    <row r="266" spans="2:5" x14ac:dyDescent="0.3">
      <c r="B266" s="3"/>
      <c r="C266" t="s">
        <v>112</v>
      </c>
      <c r="D266" s="8" t="str">
        <f>VLOOKUP(D264,Productos!$B$2:$G$65000,4,FALSE)</f>
        <v>TUBOS</v>
      </c>
      <c r="E266" s="4"/>
    </row>
    <row r="267" spans="2:5" x14ac:dyDescent="0.3">
      <c r="B267" s="3"/>
      <c r="C267" t="s">
        <v>113</v>
      </c>
      <c r="D267" s="8" t="str">
        <f>VLOOKUP(D264,Productos!$B$2:$G$65000,3,FALSE)</f>
        <v>UNIDADES</v>
      </c>
      <c r="E267" s="4"/>
    </row>
    <row r="268" spans="2:5" x14ac:dyDescent="0.3">
      <c r="B268" s="3"/>
      <c r="C268" t="s">
        <v>114</v>
      </c>
      <c r="D268" s="9">
        <f>VLOOKUP(D264,Productos!$B$2:$G$65000,5,FALSE)</f>
        <v>766</v>
      </c>
      <c r="E268" s="4"/>
    </row>
    <row r="269" spans="2:5" x14ac:dyDescent="0.3">
      <c r="B269" s="3"/>
      <c r="C269" t="s">
        <v>115</v>
      </c>
      <c r="D269" s="9">
        <f>VLOOKUP(D264,Productos!$B$2:$G$65000,6,FALSE)</f>
        <v>974</v>
      </c>
      <c r="E269" s="4"/>
    </row>
    <row r="270" spans="2:5" ht="15" thickBot="1" x14ac:dyDescent="0.35">
      <c r="B270" s="5"/>
      <c r="C270" s="6"/>
      <c r="D270" s="6"/>
      <c r="E270" s="7"/>
    </row>
    <row r="271" spans="2:5" ht="15" thickBot="1" x14ac:dyDescent="0.35"/>
    <row r="272" spans="2:5" x14ac:dyDescent="0.3">
      <c r="B272" s="10" t="s">
        <v>109</v>
      </c>
      <c r="C272" s="11"/>
      <c r="D272" s="11"/>
      <c r="E272" s="12"/>
    </row>
    <row r="273" spans="2:5" x14ac:dyDescent="0.3">
      <c r="B273" s="3"/>
      <c r="E273" s="4"/>
    </row>
    <row r="274" spans="2:5" x14ac:dyDescent="0.3">
      <c r="B274" s="3"/>
      <c r="C274" t="s">
        <v>110</v>
      </c>
      <c r="D274" s="8" t="s">
        <v>57</v>
      </c>
      <c r="E274" s="4"/>
    </row>
    <row r="275" spans="2:5" x14ac:dyDescent="0.3">
      <c r="B275" s="3"/>
      <c r="C275" t="s">
        <v>111</v>
      </c>
      <c r="D275" s="8" t="str">
        <f>VLOOKUP(D274,Productos!$B$2:$G$65000,2,FALSE)</f>
        <v>ASFALTO RC-250</v>
      </c>
      <c r="E275" s="4"/>
    </row>
    <row r="276" spans="2:5" x14ac:dyDescent="0.3">
      <c r="B276" s="3"/>
      <c r="C276" t="s">
        <v>112</v>
      </c>
      <c r="D276" s="8" t="str">
        <f>VLOOKUP(D274,Productos!$B$2:$G$65000,4,FALSE)</f>
        <v>TUBOS</v>
      </c>
      <c r="E276" s="4"/>
    </row>
    <row r="277" spans="2:5" x14ac:dyDescent="0.3">
      <c r="B277" s="3"/>
      <c r="C277" t="s">
        <v>113</v>
      </c>
      <c r="D277" s="8" t="str">
        <f>VLOOKUP(D274,Productos!$B$2:$G$65000,3,FALSE)</f>
        <v>UNIDADES</v>
      </c>
      <c r="E277" s="4"/>
    </row>
    <row r="278" spans="2:5" x14ac:dyDescent="0.3">
      <c r="B278" s="3"/>
      <c r="C278" t="s">
        <v>114</v>
      </c>
      <c r="D278" s="9">
        <f>VLOOKUP(D274,Productos!$B$2:$G$65000,5,FALSE)</f>
        <v>602</v>
      </c>
      <c r="E278" s="4"/>
    </row>
    <row r="279" spans="2:5" x14ac:dyDescent="0.3">
      <c r="B279" s="3"/>
      <c r="C279" t="s">
        <v>115</v>
      </c>
      <c r="D279" s="9">
        <f>VLOOKUP(D274,Productos!$B$2:$G$65000,6,FALSE)</f>
        <v>549</v>
      </c>
      <c r="E279" s="4"/>
    </row>
    <row r="280" spans="2:5" ht="15" thickBot="1" x14ac:dyDescent="0.35">
      <c r="B280" s="5"/>
      <c r="C280" s="6"/>
      <c r="D280" s="6"/>
      <c r="E280" s="7"/>
    </row>
    <row r="281" spans="2:5" ht="15" thickBot="1" x14ac:dyDescent="0.35"/>
    <row r="282" spans="2:5" x14ac:dyDescent="0.3">
      <c r="B282" s="10" t="s">
        <v>109</v>
      </c>
      <c r="C282" s="11"/>
      <c r="D282" s="11"/>
      <c r="E282" s="12"/>
    </row>
    <row r="283" spans="2:5" x14ac:dyDescent="0.3">
      <c r="B283" s="3"/>
      <c r="E283" s="4"/>
    </row>
    <row r="284" spans="2:5" x14ac:dyDescent="0.3">
      <c r="B284" s="3"/>
      <c r="C284" t="s">
        <v>110</v>
      </c>
      <c r="D284" s="8" t="s">
        <v>59</v>
      </c>
      <c r="E284" s="4"/>
    </row>
    <row r="285" spans="2:5" x14ac:dyDescent="0.3">
      <c r="B285" s="3"/>
      <c r="C285" t="s">
        <v>111</v>
      </c>
      <c r="D285" s="8" t="str">
        <f>VLOOKUP(D284,Productos!$B$2:$G$65000,2,FALSE)</f>
        <v>BANER (LETREROS DE SEGURIDAD)</v>
      </c>
      <c r="E285" s="4"/>
    </row>
    <row r="286" spans="2:5" x14ac:dyDescent="0.3">
      <c r="B286" s="3"/>
      <c r="C286" t="s">
        <v>112</v>
      </c>
      <c r="D286" s="8" t="str">
        <f>VLOOKUP(D284,Productos!$B$2:$G$65000,4,FALSE)</f>
        <v>TUBOS</v>
      </c>
      <c r="E286" s="4"/>
    </row>
    <row r="287" spans="2:5" x14ac:dyDescent="0.3">
      <c r="B287" s="3"/>
      <c r="C287" t="s">
        <v>113</v>
      </c>
      <c r="D287" s="8" t="str">
        <f>VLOOKUP(D284,Productos!$B$2:$G$65000,3,FALSE)</f>
        <v>UNIDADES</v>
      </c>
      <c r="E287" s="4"/>
    </row>
    <row r="288" spans="2:5" x14ac:dyDescent="0.3">
      <c r="B288" s="3"/>
      <c r="C288" t="s">
        <v>114</v>
      </c>
      <c r="D288" s="9">
        <f>VLOOKUP(D284,Productos!$B$2:$G$65000,5,FALSE)</f>
        <v>664</v>
      </c>
      <c r="E288" s="4"/>
    </row>
    <row r="289" spans="2:5" x14ac:dyDescent="0.3">
      <c r="B289" s="3"/>
      <c r="C289" t="s">
        <v>115</v>
      </c>
      <c r="D289" s="9">
        <f>VLOOKUP(D284,Productos!$B$2:$G$65000,6,FALSE)</f>
        <v>790</v>
      </c>
      <c r="E289" s="4"/>
    </row>
    <row r="290" spans="2:5" ht="15" thickBot="1" x14ac:dyDescent="0.35">
      <c r="B290" s="5"/>
      <c r="C290" s="6"/>
      <c r="D290" s="6"/>
      <c r="E290" s="7"/>
    </row>
    <row r="291" spans="2:5" ht="15" thickBot="1" x14ac:dyDescent="0.35"/>
    <row r="292" spans="2:5" x14ac:dyDescent="0.3">
      <c r="B292" s="10" t="s">
        <v>109</v>
      </c>
      <c r="C292" s="11"/>
      <c r="D292" s="11"/>
      <c r="E292" s="12"/>
    </row>
    <row r="293" spans="2:5" x14ac:dyDescent="0.3">
      <c r="B293" s="3"/>
      <c r="E293" s="4"/>
    </row>
    <row r="294" spans="2:5" x14ac:dyDescent="0.3">
      <c r="B294" s="3"/>
      <c r="C294" t="s">
        <v>110</v>
      </c>
      <c r="D294" s="8" t="s">
        <v>61</v>
      </c>
      <c r="E294" s="4"/>
    </row>
    <row r="295" spans="2:5" x14ac:dyDescent="0.3">
      <c r="B295" s="3"/>
      <c r="C295" t="s">
        <v>111</v>
      </c>
      <c r="D295" s="8" t="str">
        <f>VLOOKUP(D294,Productos!$B$2:$G$65000,2,FALSE)</f>
        <v>BARBIQUEJO PARA CASCO</v>
      </c>
      <c r="E295" s="4"/>
    </row>
    <row r="296" spans="2:5" x14ac:dyDescent="0.3">
      <c r="B296" s="3"/>
      <c r="C296" t="s">
        <v>112</v>
      </c>
      <c r="D296" s="8" t="str">
        <f>VLOOKUP(D294,Productos!$B$2:$G$65000,4,FALSE)</f>
        <v>TUBOS</v>
      </c>
      <c r="E296" s="4"/>
    </row>
    <row r="297" spans="2:5" x14ac:dyDescent="0.3">
      <c r="B297" s="3"/>
      <c r="C297" t="s">
        <v>113</v>
      </c>
      <c r="D297" s="8" t="str">
        <f>VLOOKUP(D294,Productos!$B$2:$G$65000,3,FALSE)</f>
        <v>UNIDADES</v>
      </c>
      <c r="E297" s="4"/>
    </row>
    <row r="298" spans="2:5" x14ac:dyDescent="0.3">
      <c r="B298" s="3"/>
      <c r="C298" t="s">
        <v>114</v>
      </c>
      <c r="D298" s="9">
        <f>VLOOKUP(D294,Productos!$B$2:$G$65000,5,FALSE)</f>
        <v>540</v>
      </c>
      <c r="E298" s="4"/>
    </row>
    <row r="299" spans="2:5" x14ac:dyDescent="0.3">
      <c r="B299" s="3"/>
      <c r="C299" t="s">
        <v>115</v>
      </c>
      <c r="D299" s="9">
        <f>VLOOKUP(D294,Productos!$B$2:$G$65000,6,FALSE)</f>
        <v>720</v>
      </c>
      <c r="E299" s="4"/>
    </row>
    <row r="300" spans="2:5" ht="15" thickBot="1" x14ac:dyDescent="0.35">
      <c r="B300" s="5"/>
      <c r="C300" s="6"/>
      <c r="D300" s="6"/>
      <c r="E300" s="7"/>
    </row>
    <row r="301" spans="2:5" ht="15" thickBot="1" x14ac:dyDescent="0.35"/>
    <row r="302" spans="2:5" x14ac:dyDescent="0.3">
      <c r="B302" s="10" t="s">
        <v>109</v>
      </c>
      <c r="C302" s="11"/>
      <c r="D302" s="11"/>
      <c r="E302" s="12"/>
    </row>
    <row r="303" spans="2:5" x14ac:dyDescent="0.3">
      <c r="B303" s="3"/>
      <c r="E303" s="4"/>
    </row>
    <row r="304" spans="2:5" x14ac:dyDescent="0.3">
      <c r="B304" s="3"/>
      <c r="C304" t="s">
        <v>110</v>
      </c>
      <c r="D304" s="8" t="s">
        <v>63</v>
      </c>
      <c r="E304" s="4"/>
    </row>
    <row r="305" spans="2:5" x14ac:dyDescent="0.3">
      <c r="B305" s="3"/>
      <c r="C305" t="s">
        <v>111</v>
      </c>
      <c r="D305" s="8" t="str">
        <f>VLOOKUP(D304,Productos!$B$2:$G$65000,2,FALSE)</f>
        <v>BARRA RETRACTIL COLOR AMARILLO</v>
      </c>
      <c r="E305" s="4"/>
    </row>
    <row r="306" spans="2:5" x14ac:dyDescent="0.3">
      <c r="B306" s="3"/>
      <c r="C306" t="s">
        <v>112</v>
      </c>
      <c r="D306" s="8" t="str">
        <f>VLOOKUP(D304,Productos!$B$2:$G$65000,4,FALSE)</f>
        <v>TUBOS</v>
      </c>
      <c r="E306" s="4"/>
    </row>
    <row r="307" spans="2:5" x14ac:dyDescent="0.3">
      <c r="B307" s="3"/>
      <c r="C307" t="s">
        <v>113</v>
      </c>
      <c r="D307" s="8" t="str">
        <f>VLOOKUP(D304,Productos!$B$2:$G$65000,3,FALSE)</f>
        <v>UNIDADES</v>
      </c>
      <c r="E307" s="4"/>
    </row>
    <row r="308" spans="2:5" x14ac:dyDescent="0.3">
      <c r="B308" s="3"/>
      <c r="C308" t="s">
        <v>114</v>
      </c>
      <c r="D308" s="9">
        <f>VLOOKUP(D304,Productos!$B$2:$G$65000,5,FALSE)</f>
        <v>341</v>
      </c>
      <c r="E308" s="4"/>
    </row>
    <row r="309" spans="2:5" x14ac:dyDescent="0.3">
      <c r="B309" s="3"/>
      <c r="C309" t="s">
        <v>115</v>
      </c>
      <c r="D309" s="9">
        <f>VLOOKUP(D304,Productos!$B$2:$G$65000,6,FALSE)</f>
        <v>754</v>
      </c>
      <c r="E309" s="4"/>
    </row>
    <row r="310" spans="2:5" ht="15" thickBot="1" x14ac:dyDescent="0.35">
      <c r="B310" s="5"/>
      <c r="C310" s="6"/>
      <c r="D310" s="6"/>
      <c r="E310" s="7"/>
    </row>
    <row r="311" spans="2:5" ht="15" thickBot="1" x14ac:dyDescent="0.35"/>
    <row r="312" spans="2:5" x14ac:dyDescent="0.3">
      <c r="B312" s="10" t="s">
        <v>109</v>
      </c>
      <c r="C312" s="11"/>
      <c r="D312" s="11"/>
      <c r="E312" s="12"/>
    </row>
    <row r="313" spans="2:5" x14ac:dyDescent="0.3">
      <c r="B313" s="3"/>
      <c r="E313" s="4"/>
    </row>
    <row r="314" spans="2:5" x14ac:dyDescent="0.3">
      <c r="B314" s="3"/>
      <c r="C314" t="s">
        <v>110</v>
      </c>
      <c r="D314" s="8" t="s">
        <v>65</v>
      </c>
      <c r="E314" s="4"/>
    </row>
    <row r="315" spans="2:5" x14ac:dyDescent="0.3">
      <c r="B315" s="3"/>
      <c r="C315" t="s">
        <v>111</v>
      </c>
      <c r="D315" s="8" t="str">
        <f>VLOOKUP(D314,Productos!$B$2:$G$65000,2,FALSE)</f>
        <v>BASE PARA PERTIGA PARA CAMIONETA</v>
      </c>
      <c r="E315" s="4"/>
    </row>
    <row r="316" spans="2:5" x14ac:dyDescent="0.3">
      <c r="B316" s="3"/>
      <c r="C316" t="s">
        <v>112</v>
      </c>
      <c r="D316" s="8" t="str">
        <f>VLOOKUP(D314,Productos!$B$2:$G$65000,4,FALSE)</f>
        <v>TUBOS</v>
      </c>
      <c r="E316" s="4"/>
    </row>
    <row r="317" spans="2:5" x14ac:dyDescent="0.3">
      <c r="B317" s="3"/>
      <c r="C317" t="s">
        <v>113</v>
      </c>
      <c r="D317" s="8" t="str">
        <f>VLOOKUP(D314,Productos!$B$2:$G$65000,3,FALSE)</f>
        <v>UNIDADES</v>
      </c>
      <c r="E317" s="4"/>
    </row>
    <row r="318" spans="2:5" x14ac:dyDescent="0.3">
      <c r="B318" s="3"/>
      <c r="C318" t="s">
        <v>114</v>
      </c>
      <c r="D318" s="9">
        <f>VLOOKUP(D314,Productos!$B$2:$G$65000,5,FALSE)</f>
        <v>146</v>
      </c>
      <c r="E318" s="4"/>
    </row>
    <row r="319" spans="2:5" x14ac:dyDescent="0.3">
      <c r="B319" s="3"/>
      <c r="C319" t="s">
        <v>115</v>
      </c>
      <c r="D319" s="9">
        <f>VLOOKUP(D314,Productos!$B$2:$G$65000,6,FALSE)</f>
        <v>638</v>
      </c>
      <c r="E319" s="4"/>
    </row>
    <row r="320" spans="2:5" ht="15" thickBot="1" x14ac:dyDescent="0.35">
      <c r="B320" s="5"/>
      <c r="C320" s="6"/>
      <c r="D320" s="6"/>
      <c r="E320" s="7"/>
    </row>
    <row r="321" spans="2:5" ht="15" thickBot="1" x14ac:dyDescent="0.35"/>
    <row r="322" spans="2:5" x14ac:dyDescent="0.3">
      <c r="B322" s="10" t="s">
        <v>109</v>
      </c>
      <c r="C322" s="11"/>
      <c r="D322" s="11"/>
      <c r="E322" s="12"/>
    </row>
    <row r="323" spans="2:5" x14ac:dyDescent="0.3">
      <c r="B323" s="3"/>
      <c r="E323" s="4"/>
    </row>
    <row r="324" spans="2:5" x14ac:dyDescent="0.3">
      <c r="B324" s="3"/>
      <c r="C324" t="s">
        <v>110</v>
      </c>
      <c r="D324" s="8" t="s">
        <v>67</v>
      </c>
      <c r="E324" s="4"/>
    </row>
    <row r="325" spans="2:5" x14ac:dyDescent="0.3">
      <c r="B325" s="3"/>
      <c r="C325" t="s">
        <v>111</v>
      </c>
      <c r="D325" s="8" t="str">
        <f>VLOOKUP(D324,Productos!$B$2:$G$65000,2,FALSE)</f>
        <v>BISAGRA PARA PUERTA DE 21/2"</v>
      </c>
      <c r="E325" s="4"/>
    </row>
    <row r="326" spans="2:5" x14ac:dyDescent="0.3">
      <c r="B326" s="3"/>
      <c r="C326" t="s">
        <v>112</v>
      </c>
      <c r="D326" s="8" t="str">
        <f>VLOOKUP(D324,Productos!$B$2:$G$65000,4,FALSE)</f>
        <v>TUBOS</v>
      </c>
      <c r="E326" s="4"/>
    </row>
    <row r="327" spans="2:5" x14ac:dyDescent="0.3">
      <c r="B327" s="3"/>
      <c r="C327" t="s">
        <v>113</v>
      </c>
      <c r="D327" s="8" t="str">
        <f>VLOOKUP(D324,Productos!$B$2:$G$65000,3,FALSE)</f>
        <v>UNIDADES</v>
      </c>
      <c r="E327" s="4"/>
    </row>
    <row r="328" spans="2:5" x14ac:dyDescent="0.3">
      <c r="B328" s="3"/>
      <c r="C328" t="s">
        <v>114</v>
      </c>
      <c r="D328" s="9">
        <f>VLOOKUP(D324,Productos!$B$2:$G$65000,5,FALSE)</f>
        <v>515</v>
      </c>
      <c r="E328" s="4"/>
    </row>
    <row r="329" spans="2:5" x14ac:dyDescent="0.3">
      <c r="B329" s="3"/>
      <c r="C329" t="s">
        <v>115</v>
      </c>
      <c r="D329" s="9">
        <f>VLOOKUP(D324,Productos!$B$2:$G$65000,6,FALSE)</f>
        <v>988</v>
      </c>
      <c r="E329" s="4"/>
    </row>
    <row r="330" spans="2:5" ht="15" thickBot="1" x14ac:dyDescent="0.35">
      <c r="B330" s="5"/>
      <c r="C330" s="6"/>
      <c r="D330" s="6"/>
      <c r="E330" s="7"/>
    </row>
    <row r="331" spans="2:5" ht="15" thickBot="1" x14ac:dyDescent="0.35"/>
    <row r="332" spans="2:5" x14ac:dyDescent="0.3">
      <c r="B332" s="10" t="s">
        <v>109</v>
      </c>
      <c r="C332" s="11"/>
      <c r="D332" s="11"/>
      <c r="E332" s="12"/>
    </row>
    <row r="333" spans="2:5" x14ac:dyDescent="0.3">
      <c r="B333" s="3"/>
      <c r="E333" s="4"/>
    </row>
    <row r="334" spans="2:5" x14ac:dyDescent="0.3">
      <c r="B334" s="3"/>
      <c r="C334" t="s">
        <v>110</v>
      </c>
      <c r="D334" s="8" t="s">
        <v>69</v>
      </c>
      <c r="E334" s="4"/>
    </row>
    <row r="335" spans="2:5" x14ac:dyDescent="0.3">
      <c r="B335" s="3"/>
      <c r="C335" t="s">
        <v>111</v>
      </c>
      <c r="D335" s="8" t="str">
        <f>VLOOKUP(D334,Productos!$B$2:$G$65000,2,FALSE)</f>
        <v>BISAGRA VAIVEN DE DOBLE ACCION INOXIDABLE</v>
      </c>
      <c r="E335" s="4"/>
    </row>
    <row r="336" spans="2:5" x14ac:dyDescent="0.3">
      <c r="B336" s="3"/>
      <c r="C336" t="s">
        <v>112</v>
      </c>
      <c r="D336" s="8" t="str">
        <f>VLOOKUP(D334,Productos!$B$2:$G$65000,4,FALSE)</f>
        <v>TUBOS</v>
      </c>
      <c r="E336" s="4"/>
    </row>
    <row r="337" spans="2:5" x14ac:dyDescent="0.3">
      <c r="B337" s="3"/>
      <c r="C337" t="s">
        <v>113</v>
      </c>
      <c r="D337" s="8" t="str">
        <f>VLOOKUP(D334,Productos!$B$2:$G$65000,3,FALSE)</f>
        <v>UNIDADES</v>
      </c>
      <c r="E337" s="4"/>
    </row>
    <row r="338" spans="2:5" x14ac:dyDescent="0.3">
      <c r="B338" s="3"/>
      <c r="C338" t="s">
        <v>114</v>
      </c>
      <c r="D338" s="9">
        <f>VLOOKUP(D334,Productos!$B$2:$G$65000,5,FALSE)</f>
        <v>872</v>
      </c>
      <c r="E338" s="4"/>
    </row>
    <row r="339" spans="2:5" x14ac:dyDescent="0.3">
      <c r="B339" s="3"/>
      <c r="C339" t="s">
        <v>115</v>
      </c>
      <c r="D339" s="9">
        <f>VLOOKUP(D334,Productos!$B$2:$G$65000,6,FALSE)</f>
        <v>833</v>
      </c>
      <c r="E339" s="4"/>
    </row>
    <row r="340" spans="2:5" ht="15" thickBot="1" x14ac:dyDescent="0.35">
      <c r="B340" s="5"/>
      <c r="C340" s="6"/>
      <c r="D340" s="6"/>
      <c r="E340" s="7"/>
    </row>
    <row r="341" spans="2:5" ht="15" thickBot="1" x14ac:dyDescent="0.35"/>
    <row r="342" spans="2:5" x14ac:dyDescent="0.3">
      <c r="B342" s="10" t="s">
        <v>109</v>
      </c>
      <c r="C342" s="11"/>
      <c r="D342" s="11"/>
      <c r="E342" s="12"/>
    </row>
    <row r="343" spans="2:5" x14ac:dyDescent="0.3">
      <c r="B343" s="3"/>
      <c r="E343" s="4"/>
    </row>
    <row r="344" spans="2:5" x14ac:dyDescent="0.3">
      <c r="B344" s="3"/>
      <c r="C344" t="s">
        <v>110</v>
      </c>
      <c r="D344" s="8" t="s">
        <v>71</v>
      </c>
      <c r="E344" s="4"/>
    </row>
    <row r="345" spans="2:5" x14ac:dyDescent="0.3">
      <c r="B345" s="3"/>
      <c r="C345" t="s">
        <v>111</v>
      </c>
      <c r="D345" s="8" t="str">
        <f>VLOOKUP(D344,Productos!$B$2:$G$65000,2,FALSE)</f>
        <v xml:space="preserve">BISAGRA VAIVEN FG </v>
      </c>
      <c r="E345" s="4"/>
    </row>
    <row r="346" spans="2:5" x14ac:dyDescent="0.3">
      <c r="B346" s="3"/>
      <c r="C346" t="s">
        <v>112</v>
      </c>
      <c r="D346" s="8" t="str">
        <f>VLOOKUP(D344,Productos!$B$2:$G$65000,4,FALSE)</f>
        <v>TUBOS</v>
      </c>
      <c r="E346" s="4"/>
    </row>
    <row r="347" spans="2:5" x14ac:dyDescent="0.3">
      <c r="B347" s="3"/>
      <c r="C347" t="s">
        <v>113</v>
      </c>
      <c r="D347" s="8" t="str">
        <f>VLOOKUP(D344,Productos!$B$2:$G$65000,3,FALSE)</f>
        <v>UNIDADES</v>
      </c>
      <c r="E347" s="4"/>
    </row>
    <row r="348" spans="2:5" x14ac:dyDescent="0.3">
      <c r="B348" s="3"/>
      <c r="C348" t="s">
        <v>114</v>
      </c>
      <c r="D348" s="9">
        <f>VLOOKUP(D344,Productos!$B$2:$G$65000,5,FALSE)</f>
        <v>812</v>
      </c>
      <c r="E348" s="4"/>
    </row>
    <row r="349" spans="2:5" x14ac:dyDescent="0.3">
      <c r="B349" s="3"/>
      <c r="C349" t="s">
        <v>115</v>
      </c>
      <c r="D349" s="9">
        <f>VLOOKUP(D344,Productos!$B$2:$G$65000,6,FALSE)</f>
        <v>948</v>
      </c>
      <c r="E349" s="4"/>
    </row>
    <row r="350" spans="2:5" ht="15" thickBot="1" x14ac:dyDescent="0.35">
      <c r="B350" s="5"/>
      <c r="C350" s="6"/>
      <c r="D350" s="6"/>
      <c r="E350" s="7"/>
    </row>
    <row r="351" spans="2:5" ht="15" thickBot="1" x14ac:dyDescent="0.35"/>
    <row r="352" spans="2:5" x14ac:dyDescent="0.3">
      <c r="B352" s="10" t="s">
        <v>109</v>
      </c>
      <c r="C352" s="11"/>
      <c r="D352" s="11"/>
      <c r="E352" s="12"/>
    </row>
    <row r="353" spans="2:5" x14ac:dyDescent="0.3">
      <c r="B353" s="3"/>
      <c r="E353" s="4"/>
    </row>
    <row r="354" spans="2:5" x14ac:dyDescent="0.3">
      <c r="B354" s="3"/>
      <c r="C354" t="s">
        <v>110</v>
      </c>
      <c r="D354" s="8" t="s">
        <v>73</v>
      </c>
      <c r="E354" s="4"/>
    </row>
    <row r="355" spans="2:5" x14ac:dyDescent="0.3">
      <c r="B355" s="3"/>
      <c r="C355" t="s">
        <v>111</v>
      </c>
      <c r="D355" s="8" t="str">
        <f>VLOOKUP(D354,Productos!$B$2:$G$65000,2,FALSE)</f>
        <v>BOLSAS DE BASURA PARA CILINDRO</v>
      </c>
      <c r="E355" s="4"/>
    </row>
    <row r="356" spans="2:5" x14ac:dyDescent="0.3">
      <c r="B356" s="3"/>
      <c r="C356" t="s">
        <v>112</v>
      </c>
      <c r="D356" s="8" t="str">
        <f>VLOOKUP(D354,Productos!$B$2:$G$65000,4,FALSE)</f>
        <v>TUBOS</v>
      </c>
      <c r="E356" s="4"/>
    </row>
    <row r="357" spans="2:5" x14ac:dyDescent="0.3">
      <c r="B357" s="3"/>
      <c r="C357" t="s">
        <v>113</v>
      </c>
      <c r="D357" s="8" t="str">
        <f>VLOOKUP(D354,Productos!$B$2:$G$65000,3,FALSE)</f>
        <v>UNIDADES</v>
      </c>
      <c r="E357" s="4"/>
    </row>
    <row r="358" spans="2:5" x14ac:dyDescent="0.3">
      <c r="B358" s="3"/>
      <c r="C358" t="s">
        <v>114</v>
      </c>
      <c r="D358" s="9">
        <f>VLOOKUP(D354,Productos!$B$2:$G$65000,5,FALSE)</f>
        <v>173</v>
      </c>
      <c r="E358" s="4"/>
    </row>
    <row r="359" spans="2:5" x14ac:dyDescent="0.3">
      <c r="B359" s="3"/>
      <c r="C359" t="s">
        <v>115</v>
      </c>
      <c r="D359" s="9">
        <f>VLOOKUP(D354,Productos!$B$2:$G$65000,6,FALSE)</f>
        <v>436</v>
      </c>
      <c r="E359" s="4"/>
    </row>
    <row r="360" spans="2:5" ht="15" thickBot="1" x14ac:dyDescent="0.35">
      <c r="B360" s="5"/>
      <c r="C360" s="6"/>
      <c r="D360" s="6"/>
      <c r="E360" s="7"/>
    </row>
    <row r="361" spans="2:5" ht="15" thickBot="1" x14ac:dyDescent="0.35"/>
    <row r="362" spans="2:5" x14ac:dyDescent="0.3">
      <c r="B362" s="10" t="s">
        <v>109</v>
      </c>
      <c r="C362" s="11"/>
      <c r="D362" s="11"/>
      <c r="E362" s="12"/>
    </row>
    <row r="363" spans="2:5" x14ac:dyDescent="0.3">
      <c r="B363" s="3"/>
      <c r="E363" s="4"/>
    </row>
    <row r="364" spans="2:5" x14ac:dyDescent="0.3">
      <c r="B364" s="3"/>
      <c r="C364" t="s">
        <v>110</v>
      </c>
      <c r="D364" s="8" t="s">
        <v>75</v>
      </c>
      <c r="E364" s="4"/>
    </row>
    <row r="365" spans="2:5" x14ac:dyDescent="0.3">
      <c r="B365" s="3"/>
      <c r="C365" t="s">
        <v>111</v>
      </c>
      <c r="D365" s="8" t="str">
        <f>VLOOKUP(D364,Productos!$B$2:$G$65000,2,FALSE)</f>
        <v>BOLSAS PARA BASURA 50X60 NEGRO</v>
      </c>
      <c r="E365" s="4"/>
    </row>
    <row r="366" spans="2:5" x14ac:dyDescent="0.3">
      <c r="B366" s="3"/>
      <c r="C366" t="s">
        <v>112</v>
      </c>
      <c r="D366" s="8" t="str">
        <f>VLOOKUP(D364,Productos!$B$2:$G$65000,4,FALSE)</f>
        <v>TUBOS</v>
      </c>
      <c r="E366" s="4"/>
    </row>
    <row r="367" spans="2:5" x14ac:dyDescent="0.3">
      <c r="B367" s="3"/>
      <c r="C367" t="s">
        <v>113</v>
      </c>
      <c r="D367" s="8" t="str">
        <f>VLOOKUP(D364,Productos!$B$2:$G$65000,3,FALSE)</f>
        <v>UNIDADES</v>
      </c>
      <c r="E367" s="4"/>
    </row>
    <row r="368" spans="2:5" x14ac:dyDescent="0.3">
      <c r="B368" s="3"/>
      <c r="C368" t="s">
        <v>114</v>
      </c>
      <c r="D368" s="9">
        <f>VLOOKUP(D364,Productos!$B$2:$G$65000,5,FALSE)</f>
        <v>921</v>
      </c>
      <c r="E368" s="4"/>
    </row>
    <row r="369" spans="2:5" x14ac:dyDescent="0.3">
      <c r="B369" s="3"/>
      <c r="C369" t="s">
        <v>115</v>
      </c>
      <c r="D369" s="9">
        <f>VLOOKUP(D364,Productos!$B$2:$G$65000,6,FALSE)</f>
        <v>382</v>
      </c>
      <c r="E369" s="4"/>
    </row>
    <row r="370" spans="2:5" ht="15" thickBot="1" x14ac:dyDescent="0.35">
      <c r="B370" s="5"/>
      <c r="C370" s="6"/>
      <c r="D370" s="6"/>
      <c r="E370" s="7"/>
    </row>
    <row r="371" spans="2:5" ht="15" thickBot="1" x14ac:dyDescent="0.35"/>
    <row r="372" spans="2:5" x14ac:dyDescent="0.3">
      <c r="B372" s="10" t="s">
        <v>109</v>
      </c>
      <c r="C372" s="11"/>
      <c r="D372" s="11"/>
      <c r="E372" s="12"/>
    </row>
    <row r="373" spans="2:5" x14ac:dyDescent="0.3">
      <c r="B373" s="3"/>
      <c r="E373" s="4"/>
    </row>
    <row r="374" spans="2:5" x14ac:dyDescent="0.3">
      <c r="B374" s="3"/>
      <c r="C374" t="s">
        <v>110</v>
      </c>
      <c r="D374" s="8" t="s">
        <v>77</v>
      </c>
      <c r="E374" s="4"/>
    </row>
    <row r="375" spans="2:5" x14ac:dyDescent="0.3">
      <c r="B375" s="3"/>
      <c r="C375" t="s">
        <v>111</v>
      </c>
      <c r="D375" s="8" t="str">
        <f>VLOOKUP(D374,Productos!$B$2:$G$65000,2,FALSE)</f>
        <v>BOLSAS PARA BASURA 50X80 ROJO</v>
      </c>
      <c r="E375" s="4"/>
    </row>
    <row r="376" spans="2:5" x14ac:dyDescent="0.3">
      <c r="B376" s="3"/>
      <c r="C376" t="s">
        <v>112</v>
      </c>
      <c r="D376" s="8" t="str">
        <f>VLOOKUP(D374,Productos!$B$2:$G$65000,4,FALSE)</f>
        <v>TUBOS</v>
      </c>
      <c r="E376" s="4"/>
    </row>
    <row r="377" spans="2:5" x14ac:dyDescent="0.3">
      <c r="B377" s="3"/>
      <c r="C377" t="s">
        <v>113</v>
      </c>
      <c r="D377" s="8" t="str">
        <f>VLOOKUP(D374,Productos!$B$2:$G$65000,3,FALSE)</f>
        <v>UNIDADES</v>
      </c>
      <c r="E377" s="4"/>
    </row>
    <row r="378" spans="2:5" x14ac:dyDescent="0.3">
      <c r="B378" s="3"/>
      <c r="C378" t="s">
        <v>114</v>
      </c>
      <c r="D378" s="9">
        <f>VLOOKUP(D374,Productos!$B$2:$G$65000,5,FALSE)</f>
        <v>545</v>
      </c>
      <c r="E378" s="4"/>
    </row>
    <row r="379" spans="2:5" x14ac:dyDescent="0.3">
      <c r="B379" s="3"/>
      <c r="C379" t="s">
        <v>115</v>
      </c>
      <c r="D379" s="9">
        <f>VLOOKUP(D374,Productos!$B$2:$G$65000,6,FALSE)</f>
        <v>110</v>
      </c>
      <c r="E379" s="4"/>
    </row>
    <row r="380" spans="2:5" ht="15" thickBot="1" x14ac:dyDescent="0.35">
      <c r="B380" s="5"/>
      <c r="C380" s="6"/>
      <c r="D380" s="6"/>
      <c r="E380" s="7"/>
    </row>
    <row r="381" spans="2:5" ht="15" thickBot="1" x14ac:dyDescent="0.35"/>
    <row r="382" spans="2:5" x14ac:dyDescent="0.3">
      <c r="B382" s="10" t="s">
        <v>109</v>
      </c>
      <c r="C382" s="11"/>
      <c r="D382" s="11"/>
      <c r="E382" s="12"/>
    </row>
    <row r="383" spans="2:5" x14ac:dyDescent="0.3">
      <c r="B383" s="3"/>
      <c r="E383" s="4"/>
    </row>
    <row r="384" spans="2:5" x14ac:dyDescent="0.3">
      <c r="B384" s="3"/>
      <c r="C384" t="s">
        <v>110</v>
      </c>
      <c r="D384" s="8" t="s">
        <v>79</v>
      </c>
      <c r="E384" s="4"/>
    </row>
    <row r="385" spans="2:5" x14ac:dyDescent="0.3">
      <c r="B385" s="3"/>
      <c r="C385" t="s">
        <v>111</v>
      </c>
      <c r="D385" s="8" t="str">
        <f>VLOOKUP(D384,Productos!$B$2:$G$65000,2,FALSE)</f>
        <v>BOQUILLA DE GAS TWECO DE 5/8"</v>
      </c>
      <c r="E385" s="4"/>
    </row>
    <row r="386" spans="2:5" x14ac:dyDescent="0.3">
      <c r="B386" s="3"/>
      <c r="C386" t="s">
        <v>112</v>
      </c>
      <c r="D386" s="8" t="str">
        <f>VLOOKUP(D384,Productos!$B$2:$G$65000,4,FALSE)</f>
        <v>TUBOS</v>
      </c>
      <c r="E386" s="4"/>
    </row>
    <row r="387" spans="2:5" x14ac:dyDescent="0.3">
      <c r="B387" s="3"/>
      <c r="C387" t="s">
        <v>113</v>
      </c>
      <c r="D387" s="8" t="str">
        <f>VLOOKUP(D384,Productos!$B$2:$G$65000,3,FALSE)</f>
        <v>UNIDADES</v>
      </c>
      <c r="E387" s="4"/>
    </row>
    <row r="388" spans="2:5" x14ac:dyDescent="0.3">
      <c r="B388" s="3"/>
      <c r="C388" t="s">
        <v>114</v>
      </c>
      <c r="D388" s="9">
        <f>VLOOKUP(D384,Productos!$B$2:$G$65000,5,FALSE)</f>
        <v>144</v>
      </c>
      <c r="E388" s="4"/>
    </row>
    <row r="389" spans="2:5" x14ac:dyDescent="0.3">
      <c r="B389" s="3"/>
      <c r="C389" t="s">
        <v>115</v>
      </c>
      <c r="D389" s="9">
        <f>VLOOKUP(D384,Productos!$B$2:$G$65000,6,FALSE)</f>
        <v>538</v>
      </c>
      <c r="E389" s="4"/>
    </row>
    <row r="390" spans="2:5" ht="15" thickBot="1" x14ac:dyDescent="0.35">
      <c r="B390" s="5"/>
      <c r="C390" s="6"/>
      <c r="D390" s="6"/>
      <c r="E390" s="7"/>
    </row>
    <row r="391" spans="2:5" ht="15" thickBot="1" x14ac:dyDescent="0.35"/>
    <row r="392" spans="2:5" x14ac:dyDescent="0.3">
      <c r="B392" s="10" t="s">
        <v>109</v>
      </c>
      <c r="C392" s="11"/>
      <c r="D392" s="11"/>
      <c r="E392" s="12"/>
    </row>
    <row r="393" spans="2:5" x14ac:dyDescent="0.3">
      <c r="B393" s="3"/>
      <c r="E393" s="4"/>
    </row>
    <row r="394" spans="2:5" x14ac:dyDescent="0.3">
      <c r="B394" s="3"/>
      <c r="C394" t="s">
        <v>110</v>
      </c>
      <c r="D394" s="8" t="s">
        <v>81</v>
      </c>
      <c r="E394" s="4"/>
    </row>
    <row r="395" spans="2:5" x14ac:dyDescent="0.3">
      <c r="B395" s="3"/>
      <c r="C395" t="s">
        <v>111</v>
      </c>
      <c r="D395" s="8" t="str">
        <f>VLOOKUP(D394,Productos!$B$2:$G$65000,2,FALSE)</f>
        <v>BOQUILLA DE PULVERIZACION EQUIPO GRACO 286211</v>
      </c>
      <c r="E395" s="4"/>
    </row>
    <row r="396" spans="2:5" x14ac:dyDescent="0.3">
      <c r="B396" s="3"/>
      <c r="C396" t="s">
        <v>112</v>
      </c>
      <c r="D396" s="8" t="str">
        <f>VLOOKUP(D394,Productos!$B$2:$G$65000,4,FALSE)</f>
        <v>TUBOS</v>
      </c>
      <c r="E396" s="4"/>
    </row>
    <row r="397" spans="2:5" x14ac:dyDescent="0.3">
      <c r="B397" s="3"/>
      <c r="C397" t="s">
        <v>113</v>
      </c>
      <c r="D397" s="8" t="str">
        <f>VLOOKUP(D394,Productos!$B$2:$G$65000,3,FALSE)</f>
        <v>UNIDADES</v>
      </c>
      <c r="E397" s="4"/>
    </row>
    <row r="398" spans="2:5" x14ac:dyDescent="0.3">
      <c r="B398" s="3"/>
      <c r="C398" t="s">
        <v>114</v>
      </c>
      <c r="D398" s="9">
        <f>VLOOKUP(D394,Productos!$B$2:$G$65000,5,FALSE)</f>
        <v>758</v>
      </c>
      <c r="E398" s="4"/>
    </row>
    <row r="399" spans="2:5" x14ac:dyDescent="0.3">
      <c r="B399" s="3"/>
      <c r="C399" t="s">
        <v>115</v>
      </c>
      <c r="D399" s="9">
        <f>VLOOKUP(D394,Productos!$B$2:$G$65000,6,FALSE)</f>
        <v>327</v>
      </c>
      <c r="E399" s="4"/>
    </row>
    <row r="400" spans="2:5" ht="15" thickBot="1" x14ac:dyDescent="0.35">
      <c r="B400" s="5"/>
      <c r="C400" s="6"/>
      <c r="D400" s="6"/>
      <c r="E400" s="7"/>
    </row>
    <row r="401" spans="2:5" ht="15" thickBot="1" x14ac:dyDescent="0.35"/>
    <row r="402" spans="2:5" x14ac:dyDescent="0.3">
      <c r="B402" s="10" t="s">
        <v>109</v>
      </c>
      <c r="C402" s="11"/>
      <c r="D402" s="11"/>
      <c r="E402" s="12"/>
    </row>
    <row r="403" spans="2:5" x14ac:dyDescent="0.3">
      <c r="B403" s="3"/>
      <c r="E403" s="4"/>
    </row>
    <row r="404" spans="2:5" x14ac:dyDescent="0.3">
      <c r="B404" s="3"/>
      <c r="C404" t="s">
        <v>110</v>
      </c>
      <c r="D404" s="8" t="s">
        <v>83</v>
      </c>
      <c r="E404" s="4"/>
    </row>
    <row r="405" spans="2:5" x14ac:dyDescent="0.3">
      <c r="B405" s="3"/>
      <c r="C405" t="s">
        <v>111</v>
      </c>
      <c r="D405" s="8" t="str">
        <f>VLOOKUP(D404,Productos!$B$2:$G$65000,2,FALSE)</f>
        <v>BOQUILLA DE PULVERIZACION EQUIPO GRACO 286215</v>
      </c>
      <c r="E405" s="4"/>
    </row>
    <row r="406" spans="2:5" x14ac:dyDescent="0.3">
      <c r="B406" s="3"/>
      <c r="C406" t="s">
        <v>112</v>
      </c>
      <c r="D406" s="8" t="str">
        <f>VLOOKUP(D404,Productos!$B$2:$G$65000,4,FALSE)</f>
        <v>TUBOS</v>
      </c>
      <c r="E406" s="4"/>
    </row>
    <row r="407" spans="2:5" x14ac:dyDescent="0.3">
      <c r="B407" s="3"/>
      <c r="C407" t="s">
        <v>113</v>
      </c>
      <c r="D407" s="8" t="str">
        <f>VLOOKUP(D404,Productos!$B$2:$G$65000,3,FALSE)</f>
        <v>UNIDADES</v>
      </c>
      <c r="E407" s="4"/>
    </row>
    <row r="408" spans="2:5" x14ac:dyDescent="0.3">
      <c r="B408" s="3"/>
      <c r="C408" t="s">
        <v>114</v>
      </c>
      <c r="D408" s="9">
        <f>VLOOKUP(D404,Productos!$B$2:$G$65000,5,FALSE)</f>
        <v>559</v>
      </c>
      <c r="E408" s="4"/>
    </row>
    <row r="409" spans="2:5" x14ac:dyDescent="0.3">
      <c r="B409" s="3"/>
      <c r="C409" t="s">
        <v>115</v>
      </c>
      <c r="D409" s="9">
        <f>VLOOKUP(D404,Productos!$B$2:$G$65000,6,FALSE)</f>
        <v>554</v>
      </c>
      <c r="E409" s="4"/>
    </row>
    <row r="410" spans="2:5" ht="15" thickBot="1" x14ac:dyDescent="0.35">
      <c r="B410" s="5"/>
      <c r="C410" s="6"/>
      <c r="D410" s="6"/>
      <c r="E410" s="7"/>
    </row>
    <row r="411" spans="2:5" ht="15" thickBot="1" x14ac:dyDescent="0.35"/>
    <row r="412" spans="2:5" x14ac:dyDescent="0.3">
      <c r="B412" s="10" t="s">
        <v>109</v>
      </c>
      <c r="C412" s="11"/>
      <c r="D412" s="11"/>
      <c r="E412" s="12"/>
    </row>
    <row r="413" spans="2:5" x14ac:dyDescent="0.3">
      <c r="B413" s="3"/>
      <c r="E413" s="4"/>
    </row>
    <row r="414" spans="2:5" x14ac:dyDescent="0.3">
      <c r="B414" s="3"/>
      <c r="C414" t="s">
        <v>110</v>
      </c>
      <c r="D414" s="8" t="s">
        <v>85</v>
      </c>
      <c r="E414" s="4"/>
    </row>
    <row r="415" spans="2:5" x14ac:dyDescent="0.3">
      <c r="B415" s="3"/>
      <c r="C415" t="s">
        <v>111</v>
      </c>
      <c r="D415" s="8" t="str">
        <f>VLOOKUP(D414,Productos!$B$2:$G$65000,2,FALSE)</f>
        <v>BOQUILLA DE PULVERIZACION EQUIPO GRACO LTX219</v>
      </c>
      <c r="E415" s="4"/>
    </row>
    <row r="416" spans="2:5" x14ac:dyDescent="0.3">
      <c r="B416" s="3"/>
      <c r="C416" t="s">
        <v>112</v>
      </c>
      <c r="D416" s="8" t="str">
        <f>VLOOKUP(D414,Productos!$B$2:$G$65000,4,FALSE)</f>
        <v>TUBOS</v>
      </c>
      <c r="E416" s="4"/>
    </row>
    <row r="417" spans="2:5" x14ac:dyDescent="0.3">
      <c r="B417" s="3"/>
      <c r="C417" t="s">
        <v>113</v>
      </c>
      <c r="D417" s="8" t="str">
        <f>VLOOKUP(D414,Productos!$B$2:$G$65000,3,FALSE)</f>
        <v>UNIDADES</v>
      </c>
      <c r="E417" s="4"/>
    </row>
    <row r="418" spans="2:5" x14ac:dyDescent="0.3">
      <c r="B418" s="3"/>
      <c r="C418" t="s">
        <v>114</v>
      </c>
      <c r="D418" s="9">
        <f>VLOOKUP(D414,Productos!$B$2:$G$65000,5,FALSE)</f>
        <v>886</v>
      </c>
      <c r="E418" s="4"/>
    </row>
    <row r="419" spans="2:5" x14ac:dyDescent="0.3">
      <c r="B419" s="3"/>
      <c r="C419" t="s">
        <v>115</v>
      </c>
      <c r="D419" s="9">
        <f>VLOOKUP(D414,Productos!$B$2:$G$65000,6,FALSE)</f>
        <v>546</v>
      </c>
      <c r="E419" s="4"/>
    </row>
    <row r="420" spans="2:5" ht="15" thickBot="1" x14ac:dyDescent="0.35">
      <c r="B420" s="5"/>
      <c r="C420" s="6"/>
      <c r="D420" s="6"/>
      <c r="E420" s="7"/>
    </row>
    <row r="421" spans="2:5" ht="15" thickBot="1" x14ac:dyDescent="0.35"/>
    <row r="422" spans="2:5" x14ac:dyDescent="0.3">
      <c r="B422" s="10" t="s">
        <v>109</v>
      </c>
      <c r="C422" s="11"/>
      <c r="D422" s="11"/>
      <c r="E422" s="12"/>
    </row>
    <row r="423" spans="2:5" x14ac:dyDescent="0.3">
      <c r="B423" s="3"/>
      <c r="E423" s="4"/>
    </row>
    <row r="424" spans="2:5" x14ac:dyDescent="0.3">
      <c r="B424" s="3"/>
      <c r="C424" t="s">
        <v>110</v>
      </c>
      <c r="D424" s="8" t="s">
        <v>87</v>
      </c>
      <c r="E424" s="4"/>
    </row>
    <row r="425" spans="2:5" x14ac:dyDescent="0.3">
      <c r="B425" s="3"/>
      <c r="C425" t="s">
        <v>111</v>
      </c>
      <c r="D425" s="8" t="str">
        <f>VLOOKUP(D424,Productos!$B$2:$G$65000,2,FALSE)</f>
        <v>BOQUILLA DE PULVERIZACION EQUIPO GRACO LTX515</v>
      </c>
      <c r="E425" s="4"/>
    </row>
    <row r="426" spans="2:5" x14ac:dyDescent="0.3">
      <c r="B426" s="3"/>
      <c r="C426" t="s">
        <v>112</v>
      </c>
      <c r="D426" s="8" t="str">
        <f>VLOOKUP(D424,Productos!$B$2:$G$65000,4,FALSE)</f>
        <v>TUBOS</v>
      </c>
      <c r="E426" s="4"/>
    </row>
    <row r="427" spans="2:5" x14ac:dyDescent="0.3">
      <c r="B427" s="3"/>
      <c r="C427" t="s">
        <v>113</v>
      </c>
      <c r="D427" s="8" t="str">
        <f>VLOOKUP(D424,Productos!$B$2:$G$65000,3,FALSE)</f>
        <v>UNIDADES</v>
      </c>
      <c r="E427" s="4"/>
    </row>
    <row r="428" spans="2:5" x14ac:dyDescent="0.3">
      <c r="B428" s="3"/>
      <c r="C428" t="s">
        <v>114</v>
      </c>
      <c r="D428" s="9">
        <f>VLOOKUP(D424,Productos!$B$2:$G$65000,5,FALSE)</f>
        <v>953</v>
      </c>
      <c r="E428" s="4"/>
    </row>
    <row r="429" spans="2:5" x14ac:dyDescent="0.3">
      <c r="B429" s="3"/>
      <c r="C429" t="s">
        <v>115</v>
      </c>
      <c r="D429" s="9">
        <f>VLOOKUP(D424,Productos!$B$2:$G$65000,6,FALSE)</f>
        <v>564</v>
      </c>
      <c r="E429" s="4"/>
    </row>
    <row r="430" spans="2:5" ht="15" thickBot="1" x14ac:dyDescent="0.35">
      <c r="B430" s="5"/>
      <c r="C430" s="6"/>
      <c r="D430" s="6"/>
      <c r="E430" s="7"/>
    </row>
    <row r="431" spans="2:5" ht="15" thickBot="1" x14ac:dyDescent="0.35"/>
    <row r="432" spans="2:5" x14ac:dyDescent="0.3">
      <c r="B432" s="10" t="s">
        <v>109</v>
      </c>
      <c r="C432" s="11"/>
      <c r="D432" s="11"/>
      <c r="E432" s="12"/>
    </row>
    <row r="433" spans="2:5" x14ac:dyDescent="0.3">
      <c r="B433" s="3"/>
      <c r="E433" s="4"/>
    </row>
    <row r="434" spans="2:5" x14ac:dyDescent="0.3">
      <c r="B434" s="3"/>
      <c r="C434" t="s">
        <v>110</v>
      </c>
      <c r="D434" s="8" t="s">
        <v>89</v>
      </c>
      <c r="E434" s="4"/>
    </row>
    <row r="435" spans="2:5" x14ac:dyDescent="0.3">
      <c r="B435" s="3"/>
      <c r="C435" t="s">
        <v>111</v>
      </c>
      <c r="D435" s="8" t="str">
        <f>VLOOKUP(D434,Productos!$B$2:$G$65000,2,FALSE)</f>
        <v>BOQUILLA DE PULVERIZACION EQUIPO GRACO LTX519</v>
      </c>
      <c r="E435" s="4"/>
    </row>
    <row r="436" spans="2:5" x14ac:dyDescent="0.3">
      <c r="B436" s="3"/>
      <c r="C436" t="s">
        <v>112</v>
      </c>
      <c r="D436" s="8" t="str">
        <f>VLOOKUP(D434,Productos!$B$2:$G$65000,4,FALSE)</f>
        <v>TUBOS</v>
      </c>
      <c r="E436" s="4"/>
    </row>
    <row r="437" spans="2:5" x14ac:dyDescent="0.3">
      <c r="B437" s="3"/>
      <c r="C437" t="s">
        <v>113</v>
      </c>
      <c r="D437" s="8" t="str">
        <f>VLOOKUP(D434,Productos!$B$2:$G$65000,3,FALSE)</f>
        <v>UNIDADES</v>
      </c>
      <c r="E437" s="4"/>
    </row>
    <row r="438" spans="2:5" x14ac:dyDescent="0.3">
      <c r="B438" s="3"/>
      <c r="C438" t="s">
        <v>114</v>
      </c>
      <c r="D438" s="9">
        <f>VLOOKUP(D434,Productos!$B$2:$G$65000,5,FALSE)</f>
        <v>911</v>
      </c>
      <c r="E438" s="4"/>
    </row>
    <row r="439" spans="2:5" x14ac:dyDescent="0.3">
      <c r="B439" s="3"/>
      <c r="C439" t="s">
        <v>115</v>
      </c>
      <c r="D439" s="9">
        <f>VLOOKUP(D434,Productos!$B$2:$G$65000,6,FALSE)</f>
        <v>103</v>
      </c>
      <c r="E439" s="4"/>
    </row>
    <row r="440" spans="2:5" ht="15" thickBot="1" x14ac:dyDescent="0.35">
      <c r="B440" s="5"/>
      <c r="C440" s="6"/>
      <c r="D440" s="6"/>
      <c r="E440" s="7"/>
    </row>
    <row r="441" spans="2:5" ht="15" thickBot="1" x14ac:dyDescent="0.35"/>
    <row r="442" spans="2:5" x14ac:dyDescent="0.3">
      <c r="B442" s="10" t="s">
        <v>109</v>
      </c>
      <c r="C442" s="11"/>
      <c r="D442" s="11"/>
      <c r="E442" s="12"/>
    </row>
    <row r="443" spans="2:5" x14ac:dyDescent="0.3">
      <c r="B443" s="3"/>
      <c r="E443" s="4"/>
    </row>
    <row r="444" spans="2:5" x14ac:dyDescent="0.3">
      <c r="B444" s="3"/>
      <c r="C444" t="s">
        <v>110</v>
      </c>
      <c r="D444" s="8" t="s">
        <v>91</v>
      </c>
      <c r="E444" s="4"/>
    </row>
    <row r="445" spans="2:5" x14ac:dyDescent="0.3">
      <c r="B445" s="3"/>
      <c r="C445" t="s">
        <v>111</v>
      </c>
      <c r="D445" s="8" t="str">
        <f>VLOOKUP(D444,Productos!$B$2:$G$65000,2,FALSE)</f>
        <v>BOQUILLA DE PULVERIZACION EQUIPO GRACO XHD115</v>
      </c>
      <c r="E445" s="4"/>
    </row>
    <row r="446" spans="2:5" x14ac:dyDescent="0.3">
      <c r="B446" s="3"/>
      <c r="C446" t="s">
        <v>112</v>
      </c>
      <c r="D446" s="8" t="str">
        <f>VLOOKUP(D444,Productos!$B$2:$G$65000,4,FALSE)</f>
        <v>TUBOS</v>
      </c>
      <c r="E446" s="4"/>
    </row>
    <row r="447" spans="2:5" x14ac:dyDescent="0.3">
      <c r="B447" s="3"/>
      <c r="C447" t="s">
        <v>113</v>
      </c>
      <c r="D447" s="8" t="str">
        <f>VLOOKUP(D444,Productos!$B$2:$G$65000,3,FALSE)</f>
        <v>UNIDADES</v>
      </c>
      <c r="E447" s="4"/>
    </row>
    <row r="448" spans="2:5" x14ac:dyDescent="0.3">
      <c r="B448" s="3"/>
      <c r="C448" t="s">
        <v>114</v>
      </c>
      <c r="D448" s="9">
        <f>VLOOKUP(D444,Productos!$B$2:$G$65000,5,FALSE)</f>
        <v>431</v>
      </c>
      <c r="E448" s="4"/>
    </row>
    <row r="449" spans="2:5" x14ac:dyDescent="0.3">
      <c r="B449" s="3"/>
      <c r="C449" t="s">
        <v>115</v>
      </c>
      <c r="D449" s="9">
        <f>VLOOKUP(D444,Productos!$B$2:$G$65000,6,FALSE)</f>
        <v>376</v>
      </c>
      <c r="E449" s="4"/>
    </row>
    <row r="450" spans="2:5" ht="15" thickBot="1" x14ac:dyDescent="0.35">
      <c r="B450" s="5"/>
      <c r="C450" s="6"/>
      <c r="D450" s="6"/>
      <c r="E450" s="7"/>
    </row>
    <row r="451" spans="2:5" ht="15" thickBot="1" x14ac:dyDescent="0.35"/>
    <row r="452" spans="2:5" x14ac:dyDescent="0.3">
      <c r="B452" s="10" t="s">
        <v>109</v>
      </c>
      <c r="C452" s="11"/>
      <c r="D452" s="11"/>
      <c r="E452" s="12"/>
    </row>
    <row r="453" spans="2:5" x14ac:dyDescent="0.3">
      <c r="B453" s="3"/>
      <c r="E453" s="4"/>
    </row>
    <row r="454" spans="2:5" x14ac:dyDescent="0.3">
      <c r="B454" s="3"/>
      <c r="C454" t="s">
        <v>110</v>
      </c>
      <c r="D454" s="8" t="s">
        <v>93</v>
      </c>
      <c r="E454" s="4"/>
    </row>
    <row r="455" spans="2:5" x14ac:dyDescent="0.3">
      <c r="B455" s="3"/>
      <c r="C455" t="s">
        <v>111</v>
      </c>
      <c r="D455" s="8" t="str">
        <f>VLOOKUP(D454,Productos!$B$2:$G$65000,2,FALSE)</f>
        <v>BOQUILLA DE PULVERIZACION EQUIPO GRACO XHD515</v>
      </c>
      <c r="E455" s="4"/>
    </row>
    <row r="456" spans="2:5" x14ac:dyDescent="0.3">
      <c r="B456" s="3"/>
      <c r="C456" t="s">
        <v>112</v>
      </c>
      <c r="D456" s="8" t="str">
        <f>VLOOKUP(D454,Productos!$B$2:$G$65000,4,FALSE)</f>
        <v>TUBOS</v>
      </c>
      <c r="E456" s="4"/>
    </row>
    <row r="457" spans="2:5" x14ac:dyDescent="0.3">
      <c r="B457" s="3"/>
      <c r="C457" t="s">
        <v>113</v>
      </c>
      <c r="D457" s="8" t="str">
        <f>VLOOKUP(D454,Productos!$B$2:$G$65000,3,FALSE)</f>
        <v>UNIDADES</v>
      </c>
      <c r="E457" s="4"/>
    </row>
    <row r="458" spans="2:5" x14ac:dyDescent="0.3">
      <c r="B458" s="3"/>
      <c r="C458" t="s">
        <v>114</v>
      </c>
      <c r="D458" s="9">
        <f>VLOOKUP(D454,Productos!$B$2:$G$65000,5,FALSE)</f>
        <v>228</v>
      </c>
      <c r="E458" s="4"/>
    </row>
    <row r="459" spans="2:5" x14ac:dyDescent="0.3">
      <c r="B459" s="3"/>
      <c r="C459" t="s">
        <v>115</v>
      </c>
      <c r="D459" s="9">
        <f>VLOOKUP(D454,Productos!$B$2:$G$65000,6,FALSE)</f>
        <v>153</v>
      </c>
      <c r="E459" s="4"/>
    </row>
    <row r="460" spans="2:5" ht="15" thickBot="1" x14ac:dyDescent="0.35">
      <c r="B460" s="5"/>
      <c r="C460" s="6"/>
      <c r="D460" s="6"/>
      <c r="E460" s="7"/>
    </row>
    <row r="461" spans="2:5" ht="15" thickBot="1" x14ac:dyDescent="0.35"/>
    <row r="462" spans="2:5" x14ac:dyDescent="0.3">
      <c r="B462" s="10" t="s">
        <v>109</v>
      </c>
      <c r="C462" s="11"/>
      <c r="D462" s="11"/>
      <c r="E462" s="12"/>
    </row>
    <row r="463" spans="2:5" x14ac:dyDescent="0.3">
      <c r="B463" s="3"/>
      <c r="E463" s="4"/>
    </row>
    <row r="464" spans="2:5" x14ac:dyDescent="0.3">
      <c r="B464" s="3"/>
      <c r="C464" t="s">
        <v>110</v>
      </c>
      <c r="D464" s="8" t="s">
        <v>95</v>
      </c>
      <c r="E464" s="4"/>
    </row>
    <row r="465" spans="2:5" x14ac:dyDescent="0.3">
      <c r="B465" s="3"/>
      <c r="C465" t="s">
        <v>111</v>
      </c>
      <c r="D465" s="8" t="str">
        <f>VLOOKUP(D464,Productos!$B$2:$G$65000,2,FALSE)</f>
        <v>BOQUILLA DE PULVERIZACION EQUIPO GRACO XHD519</v>
      </c>
      <c r="E465" s="4"/>
    </row>
    <row r="466" spans="2:5" x14ac:dyDescent="0.3">
      <c r="B466" s="3"/>
      <c r="C466" t="s">
        <v>112</v>
      </c>
      <c r="D466" s="8" t="str">
        <f>VLOOKUP(D464,Productos!$B$2:$G$65000,4,FALSE)</f>
        <v>TUBOS</v>
      </c>
      <c r="E466" s="4"/>
    </row>
    <row r="467" spans="2:5" x14ac:dyDescent="0.3">
      <c r="B467" s="3"/>
      <c r="C467" t="s">
        <v>113</v>
      </c>
      <c r="D467" s="8" t="str">
        <f>VLOOKUP(D464,Productos!$B$2:$G$65000,3,FALSE)</f>
        <v>UNIDADES</v>
      </c>
      <c r="E467" s="4"/>
    </row>
    <row r="468" spans="2:5" x14ac:dyDescent="0.3">
      <c r="B468" s="3"/>
      <c r="C468" t="s">
        <v>114</v>
      </c>
      <c r="D468" s="9">
        <f>VLOOKUP(D464,Productos!$B$2:$G$65000,5,FALSE)</f>
        <v>170</v>
      </c>
      <c r="E468" s="4"/>
    </row>
    <row r="469" spans="2:5" x14ac:dyDescent="0.3">
      <c r="B469" s="3"/>
      <c r="C469" t="s">
        <v>115</v>
      </c>
      <c r="D469" s="9">
        <f>VLOOKUP(D464,Productos!$B$2:$G$65000,6,FALSE)</f>
        <v>882</v>
      </c>
      <c r="E469" s="4"/>
    </row>
    <row r="470" spans="2:5" ht="15" thickBot="1" x14ac:dyDescent="0.35">
      <c r="B470" s="5"/>
      <c r="C470" s="6"/>
      <c r="D470" s="6"/>
      <c r="E470" s="7"/>
    </row>
    <row r="471" spans="2:5" ht="15" thickBot="1" x14ac:dyDescent="0.35"/>
    <row r="472" spans="2:5" x14ac:dyDescent="0.3">
      <c r="B472" s="10" t="s">
        <v>109</v>
      </c>
      <c r="C472" s="11"/>
      <c r="D472" s="11"/>
      <c r="E472" s="12"/>
    </row>
    <row r="473" spans="2:5" x14ac:dyDescent="0.3">
      <c r="B473" s="3"/>
      <c r="E473" s="4"/>
    </row>
    <row r="474" spans="2:5" x14ac:dyDescent="0.3">
      <c r="B474" s="3"/>
      <c r="C474" t="s">
        <v>110</v>
      </c>
      <c r="D474" s="8" t="s">
        <v>97</v>
      </c>
      <c r="E474" s="4"/>
    </row>
    <row r="475" spans="2:5" x14ac:dyDescent="0.3">
      <c r="B475" s="3"/>
      <c r="C475" t="s">
        <v>111</v>
      </c>
      <c r="D475" s="8" t="str">
        <f>VLOOKUP(D474,Productos!$B$2:$G$65000,2,FALSE)</f>
        <v>BOQUILLA DE PULVERIZACION PARA EQUIPO GRACO</v>
      </c>
      <c r="E475" s="4"/>
    </row>
    <row r="476" spans="2:5" x14ac:dyDescent="0.3">
      <c r="B476" s="3"/>
      <c r="C476" t="s">
        <v>112</v>
      </c>
      <c r="D476" s="8" t="str">
        <f>VLOOKUP(D474,Productos!$B$2:$G$65000,4,FALSE)</f>
        <v>TUBOS</v>
      </c>
      <c r="E476" s="4"/>
    </row>
    <row r="477" spans="2:5" x14ac:dyDescent="0.3">
      <c r="B477" s="3"/>
      <c r="C477" t="s">
        <v>113</v>
      </c>
      <c r="D477" s="8" t="str">
        <f>VLOOKUP(D474,Productos!$B$2:$G$65000,3,FALSE)</f>
        <v>UNIDADES</v>
      </c>
      <c r="E477" s="4"/>
    </row>
    <row r="478" spans="2:5" x14ac:dyDescent="0.3">
      <c r="B478" s="3"/>
      <c r="C478" t="s">
        <v>114</v>
      </c>
      <c r="D478" s="9">
        <f>VLOOKUP(D474,Productos!$B$2:$G$65000,5,FALSE)</f>
        <v>609</v>
      </c>
      <c r="E478" s="4"/>
    </row>
    <row r="479" spans="2:5" x14ac:dyDescent="0.3">
      <c r="B479" s="3"/>
      <c r="C479" t="s">
        <v>115</v>
      </c>
      <c r="D479" s="9">
        <f>VLOOKUP(D474,Productos!$B$2:$G$65000,6,FALSE)</f>
        <v>227</v>
      </c>
      <c r="E479" s="4"/>
    </row>
    <row r="480" spans="2:5" ht="15" thickBot="1" x14ac:dyDescent="0.35">
      <c r="B480" s="5"/>
      <c r="C480" s="6"/>
      <c r="D480" s="6"/>
      <c r="E480" s="7"/>
    </row>
    <row r="481" spans="2:5" ht="15" thickBot="1" x14ac:dyDescent="0.35"/>
    <row r="482" spans="2:5" x14ac:dyDescent="0.3">
      <c r="B482" s="10" t="s">
        <v>109</v>
      </c>
      <c r="C482" s="11"/>
      <c r="D482" s="11"/>
      <c r="E482" s="12"/>
    </row>
    <row r="483" spans="2:5" x14ac:dyDescent="0.3">
      <c r="B483" s="3"/>
      <c r="E483" s="4"/>
    </row>
    <row r="484" spans="2:5" x14ac:dyDescent="0.3">
      <c r="B484" s="3"/>
      <c r="C484" t="s">
        <v>110</v>
      </c>
      <c r="D484" s="8" t="s">
        <v>99</v>
      </c>
      <c r="E484" s="4"/>
    </row>
    <row r="485" spans="2:5" x14ac:dyDescent="0.3">
      <c r="B485" s="3"/>
      <c r="C485" t="s">
        <v>111</v>
      </c>
      <c r="D485" s="8" t="str">
        <f>VLOOKUP(D484,Productos!$B$2:$G$65000,2,FALSE)</f>
        <v>BOQUILLA DE PULVERIZACION PARA EQUIPO GRACO 517</v>
      </c>
      <c r="E485" s="4"/>
    </row>
    <row r="486" spans="2:5" x14ac:dyDescent="0.3">
      <c r="B486" s="3"/>
      <c r="C486" t="s">
        <v>112</v>
      </c>
      <c r="D486" s="8" t="str">
        <f>VLOOKUP(D484,Productos!$B$2:$G$65000,4,FALSE)</f>
        <v>TUBOS</v>
      </c>
      <c r="E486" s="4"/>
    </row>
    <row r="487" spans="2:5" x14ac:dyDescent="0.3">
      <c r="B487" s="3"/>
      <c r="C487" t="s">
        <v>113</v>
      </c>
      <c r="D487" s="8" t="str">
        <f>VLOOKUP(D484,Productos!$B$2:$G$65000,3,FALSE)</f>
        <v>UNIDADES</v>
      </c>
      <c r="E487" s="4"/>
    </row>
    <row r="488" spans="2:5" x14ac:dyDescent="0.3">
      <c r="B488" s="3"/>
      <c r="C488" t="s">
        <v>114</v>
      </c>
      <c r="D488" s="9">
        <f>VLOOKUP(D484,Productos!$B$2:$G$65000,5,FALSE)</f>
        <v>289</v>
      </c>
      <c r="E488" s="4"/>
    </row>
    <row r="489" spans="2:5" x14ac:dyDescent="0.3">
      <c r="B489" s="3"/>
      <c r="C489" t="s">
        <v>115</v>
      </c>
      <c r="D489" s="9">
        <f>VLOOKUP(D484,Productos!$B$2:$G$65000,6,FALSE)</f>
        <v>408</v>
      </c>
      <c r="E489" s="4"/>
    </row>
    <row r="490" spans="2:5" ht="15" thickBot="1" x14ac:dyDescent="0.35">
      <c r="B490" s="5"/>
      <c r="C490" s="6"/>
      <c r="D490" s="6"/>
      <c r="E490" s="7"/>
    </row>
    <row r="491" spans="2:5" ht="15" thickBot="1" x14ac:dyDescent="0.35"/>
    <row r="492" spans="2:5" x14ac:dyDescent="0.3">
      <c r="B492" s="10" t="s">
        <v>109</v>
      </c>
      <c r="C492" s="11"/>
      <c r="D492" s="11"/>
      <c r="E492" s="12"/>
    </row>
    <row r="493" spans="2:5" x14ac:dyDescent="0.3">
      <c r="B493" s="3"/>
      <c r="E493" s="4"/>
    </row>
    <row r="494" spans="2:5" x14ac:dyDescent="0.3">
      <c r="B494" s="3"/>
      <c r="C494" t="s">
        <v>110</v>
      </c>
      <c r="D494" s="8" t="s">
        <v>101</v>
      </c>
      <c r="E494" s="4"/>
    </row>
    <row r="495" spans="2:5" x14ac:dyDescent="0.3">
      <c r="B495" s="3"/>
      <c r="C495" t="s">
        <v>111</v>
      </c>
      <c r="D495" s="8" t="str">
        <f>VLOOKUP(D494,Productos!$B$2:$G$65000,2,FALSE)</f>
        <v>BOQUILLA HYPERTHERM 220930</v>
      </c>
      <c r="E495" s="4"/>
    </row>
    <row r="496" spans="2:5" x14ac:dyDescent="0.3">
      <c r="B496" s="3"/>
      <c r="C496" t="s">
        <v>112</v>
      </c>
      <c r="D496" s="8" t="str">
        <f>VLOOKUP(D494,Productos!$B$2:$G$65000,4,FALSE)</f>
        <v>TUBOS</v>
      </c>
      <c r="E496" s="4"/>
    </row>
    <row r="497" spans="2:5" x14ac:dyDescent="0.3">
      <c r="B497" s="3"/>
      <c r="C497" t="s">
        <v>113</v>
      </c>
      <c r="D497" s="8" t="str">
        <f>VLOOKUP(D494,Productos!$B$2:$G$65000,3,FALSE)</f>
        <v>UNIDADES</v>
      </c>
      <c r="E497" s="4"/>
    </row>
    <row r="498" spans="2:5" x14ac:dyDescent="0.3">
      <c r="B498" s="3"/>
      <c r="C498" t="s">
        <v>114</v>
      </c>
      <c r="D498" s="9">
        <f>VLOOKUP(D494,Productos!$B$2:$G$65000,5,FALSE)</f>
        <v>253</v>
      </c>
      <c r="E498" s="4"/>
    </row>
    <row r="499" spans="2:5" x14ac:dyDescent="0.3">
      <c r="B499" s="3"/>
      <c r="C499" t="s">
        <v>115</v>
      </c>
      <c r="D499" s="9">
        <f>VLOOKUP(D494,Productos!$B$2:$G$65000,6,FALSE)</f>
        <v>893</v>
      </c>
      <c r="E499" s="4"/>
    </row>
    <row r="500" spans="2:5" ht="15" thickBot="1" x14ac:dyDescent="0.35">
      <c r="B500" s="5"/>
      <c r="C500" s="6"/>
      <c r="D500" s="6"/>
      <c r="E500" s="7"/>
    </row>
    <row r="501" spans="2:5" ht="15" thickBot="1" x14ac:dyDescent="0.35"/>
    <row r="502" spans="2:5" x14ac:dyDescent="0.3">
      <c r="B502" s="10" t="s">
        <v>109</v>
      </c>
      <c r="C502" s="11"/>
      <c r="D502" s="11"/>
      <c r="E502" s="12"/>
    </row>
    <row r="503" spans="2:5" x14ac:dyDescent="0.3">
      <c r="B503" s="3"/>
      <c r="E503" s="4"/>
    </row>
    <row r="504" spans="2:5" x14ac:dyDescent="0.3">
      <c r="B504" s="3"/>
      <c r="C504" t="s">
        <v>110</v>
      </c>
      <c r="D504" s="8" t="s">
        <v>103</v>
      </c>
      <c r="E504" s="4"/>
    </row>
    <row r="505" spans="2:5" x14ac:dyDescent="0.3">
      <c r="B505" s="3"/>
      <c r="C505" t="s">
        <v>111</v>
      </c>
      <c r="D505" s="8" t="str">
        <f>VLOOKUP(D504,Productos!$B$2:$G$65000,2,FALSE)</f>
        <v>BOQUILLA NRO. 413 DE PULVERIZACION PARA EQUIPO GRACO</v>
      </c>
      <c r="E505" s="4"/>
    </row>
    <row r="506" spans="2:5" x14ac:dyDescent="0.3">
      <c r="B506" s="3"/>
      <c r="C506" t="s">
        <v>112</v>
      </c>
      <c r="D506" s="8" t="str">
        <f>VLOOKUP(D504,Productos!$B$2:$G$65000,4,FALSE)</f>
        <v>TUBOS</v>
      </c>
      <c r="E506" s="4"/>
    </row>
    <row r="507" spans="2:5" x14ac:dyDescent="0.3">
      <c r="B507" s="3"/>
      <c r="C507" t="s">
        <v>113</v>
      </c>
      <c r="D507" s="8" t="str">
        <f>VLOOKUP(D504,Productos!$B$2:$G$65000,3,FALSE)</f>
        <v>UNIDADES</v>
      </c>
      <c r="E507" s="4"/>
    </row>
    <row r="508" spans="2:5" x14ac:dyDescent="0.3">
      <c r="B508" s="3"/>
      <c r="C508" t="s">
        <v>114</v>
      </c>
      <c r="D508" s="9">
        <f>VLOOKUP(D504,Productos!$B$2:$G$65000,5,FALSE)</f>
        <v>938</v>
      </c>
      <c r="E508" s="4"/>
    </row>
    <row r="509" spans="2:5" x14ac:dyDescent="0.3">
      <c r="B509" s="3"/>
      <c r="C509" t="s">
        <v>115</v>
      </c>
      <c r="D509" s="9">
        <f>VLOOKUP(D504,Productos!$B$2:$G$65000,6,FALSE)</f>
        <v>625</v>
      </c>
      <c r="E509" s="4"/>
    </row>
    <row r="510" spans="2:5" ht="15" thickBot="1" x14ac:dyDescent="0.35">
      <c r="B510" s="5"/>
      <c r="C510" s="6"/>
      <c r="D510" s="6"/>
      <c r="E510" s="7"/>
    </row>
  </sheetData>
  <mergeCells count="51">
    <mergeCell ref="B2:E2"/>
    <mergeCell ref="B162:E162"/>
    <mergeCell ref="B182:E182"/>
    <mergeCell ref="B132:E132"/>
    <mergeCell ref="B52:E52"/>
    <mergeCell ref="B92:E92"/>
    <mergeCell ref="B192:E192"/>
    <mergeCell ref="B142:E142"/>
    <mergeCell ref="B152:E152"/>
    <mergeCell ref="B372:E372"/>
    <mergeCell ref="B342:E342"/>
    <mergeCell ref="B352:E352"/>
    <mergeCell ref="B362:E362"/>
    <mergeCell ref="B292:E292"/>
    <mergeCell ref="B332:E332"/>
    <mergeCell ref="B252:E252"/>
    <mergeCell ref="B282:E282"/>
    <mergeCell ref="B212:E212"/>
    <mergeCell ref="B202:E202"/>
    <mergeCell ref="B222:E222"/>
    <mergeCell ref="B232:E232"/>
    <mergeCell ref="B172:E172"/>
    <mergeCell ref="B82:E82"/>
    <mergeCell ref="B112:E112"/>
    <mergeCell ref="B122:E122"/>
    <mergeCell ref="B102:E102"/>
    <mergeCell ref="B12:E12"/>
    <mergeCell ref="B22:E22"/>
    <mergeCell ref="B32:E32"/>
    <mergeCell ref="B42:E42"/>
    <mergeCell ref="B62:E62"/>
    <mergeCell ref="B72:E72"/>
    <mergeCell ref="B432:E432"/>
    <mergeCell ref="B242:E242"/>
    <mergeCell ref="B262:E262"/>
    <mergeCell ref="B272:E272"/>
    <mergeCell ref="B302:E302"/>
    <mergeCell ref="B312:E312"/>
    <mergeCell ref="B322:E322"/>
    <mergeCell ref="B382:E382"/>
    <mergeCell ref="B392:E392"/>
    <mergeCell ref="B402:E402"/>
    <mergeCell ref="B412:E412"/>
    <mergeCell ref="B422:E422"/>
    <mergeCell ref="B502:E502"/>
    <mergeCell ref="B442:E442"/>
    <mergeCell ref="B452:E452"/>
    <mergeCell ref="B462:E462"/>
    <mergeCell ref="B472:E472"/>
    <mergeCell ref="B482:E482"/>
    <mergeCell ref="B492:E49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Productos</vt:lpstr>
      <vt:lpstr>TARJETAS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</dc:creator>
  <cp:lastModifiedBy>EXCEL SERVICIOS</cp:lastModifiedBy>
  <dcterms:created xsi:type="dcterms:W3CDTF">2023-03-10T08:07:38Z</dcterms:created>
  <dcterms:modified xsi:type="dcterms:W3CDTF">2023-05-19T14:50:35Z</dcterms:modified>
</cp:coreProperties>
</file>